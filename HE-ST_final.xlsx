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edh\Desktop\IIT_Bombay\iit_bombay\project\heat exchanger\"/>
    </mc:Choice>
  </mc:AlternateContent>
  <xr:revisionPtr revIDLastSave="0" documentId="13_ncr:1_{2E1D2E89-8D41-43D3-8624-97B56B9BB6D0}" xr6:coauthVersionLast="47" xr6:coauthVersionMax="47" xr10:uidLastSave="{00000000-0000-0000-0000-000000000000}"/>
  <bookViews>
    <workbookView xWindow="-120" yWindow="-120" windowWidth="29040" windowHeight="17520" xr2:uid="{8C0C2A30-B491-4BA0-B5D9-BFCFB8F985D1}"/>
  </bookViews>
  <sheets>
    <sheet name="heat exchanger " sheetId="1" r:id="rId1"/>
    <sheet name="shell dimension" sheetId="2" r:id="rId2"/>
    <sheet name="brass chart" sheetId="4" r:id="rId3"/>
    <sheet name="Sheet1" sheetId="3" r:id="rId4"/>
    <sheet name="Sheet2" sheetId="5" r:id="rId5"/>
    <sheet name="Sheet3" sheetId="6" r:id="rId6"/>
  </sheets>
  <definedNames>
    <definedName name="_xlnm._FilterDatabase" localSheetId="4" hidden="1">Sheet2!$D$1:$D$135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1" l="1"/>
  <c r="B84" i="1" s="1"/>
  <c r="C84" i="1" s="1"/>
  <c r="B83" i="1"/>
  <c r="C83" i="1" s="1"/>
  <c r="C82" i="1"/>
  <c r="B90" i="1"/>
  <c r="B91" i="1" s="1"/>
  <c r="B93" i="1"/>
  <c r="B44" i="1"/>
  <c r="B77" i="1"/>
  <c r="B51" i="1"/>
  <c r="B42" i="1"/>
  <c r="B41" i="1"/>
  <c r="B129" i="1"/>
  <c r="F101" i="1"/>
  <c r="C121" i="1"/>
  <c r="F99" i="1"/>
  <c r="E43" i="1" a="1"/>
  <c r="E43" i="1" s="1"/>
  <c r="E44" i="1" s="1"/>
  <c r="B76" i="1"/>
  <c r="B49" i="1"/>
  <c r="B50" i="1"/>
  <c r="B57" i="1"/>
  <c r="C50" i="1"/>
  <c r="C49" i="1"/>
  <c r="B7" i="1"/>
  <c r="B18" i="1"/>
  <c r="B19" i="1"/>
  <c r="F23" i="1"/>
  <c r="F25" i="1"/>
  <c r="F22" i="1"/>
  <c r="F27" i="1" s="1"/>
  <c r="B23" i="1"/>
  <c r="B22" i="1"/>
  <c r="B24" i="1" s="1"/>
  <c r="C14" i="1"/>
  <c r="B14" i="1"/>
  <c r="B13" i="1"/>
  <c r="J11" i="1"/>
  <c r="M11" i="1"/>
  <c r="C10" i="1"/>
  <c r="C11" i="1"/>
  <c r="C12" i="1"/>
  <c r="C9" i="1"/>
  <c r="B85" i="1" l="1"/>
  <c r="B86" i="1"/>
  <c r="B92" i="1" s="1"/>
  <c r="E90" i="1"/>
  <c r="D83" i="1"/>
  <c r="F100" i="1"/>
  <c r="E45" i="1"/>
  <c r="B29" i="1"/>
  <c r="B56" i="1"/>
  <c r="B58" i="1" s="1"/>
  <c r="B28" i="1"/>
  <c r="F26" i="1"/>
  <c r="B27" i="1" s="1"/>
  <c r="F24" i="1"/>
  <c r="C13" i="1"/>
  <c r="E89" i="1" l="1"/>
  <c r="C95" i="1" s="1"/>
  <c r="B94" i="1"/>
  <c r="B95" i="1" s="1"/>
  <c r="F98" i="1" s="1"/>
  <c r="B30" i="1"/>
  <c r="B31" i="1" s="1"/>
  <c r="B32" i="1" s="1"/>
  <c r="B36" i="1" s="1"/>
  <c r="B45" i="1" s="1"/>
  <c r="C45" i="1" s="1"/>
  <c r="B71" i="1" s="1"/>
  <c r="B52" i="1" l="1"/>
  <c r="B72" i="1" s="1"/>
  <c r="B73" i="1" s="1"/>
  <c r="B75" i="1" s="1"/>
  <c r="C58" i="1"/>
  <c r="B78" i="1" l="1"/>
  <c r="F102" i="1" s="1"/>
  <c r="B107" i="1"/>
  <c r="B108" i="1" s="1"/>
  <c r="B109" i="1" s="1"/>
  <c r="H57" i="1"/>
  <c r="H56" i="1"/>
  <c r="H55" i="1"/>
  <c r="B60" i="1" s="1"/>
  <c r="C60" i="1" s="1"/>
  <c r="B61" i="1" s="1"/>
  <c r="H58" i="1"/>
  <c r="B63" i="1" l="1" a="1"/>
  <c r="B63" i="1" s="1"/>
  <c r="C62" i="1"/>
  <c r="B62" i="1" a="1"/>
  <c r="B62" i="1" s="1"/>
  <c r="B65" i="1" a="1"/>
  <c r="B65" i="1" s="1"/>
  <c r="B64" i="1" a="1"/>
  <c r="B64" i="1" s="1"/>
  <c r="B119" i="1" l="1"/>
  <c r="B130" i="1" s="1"/>
  <c r="B138" i="1"/>
  <c r="B137" i="1"/>
  <c r="B136" i="1"/>
  <c r="B133" i="1"/>
  <c r="B135" i="1" s="1"/>
  <c r="C135" i="1" s="1"/>
  <c r="B139" i="1" s="1"/>
  <c r="C67" i="1" a="1"/>
  <c r="C67" i="1" s="1"/>
  <c r="B123" i="1"/>
  <c r="C65" i="1" a="1"/>
  <c r="C65" i="1" s="1"/>
  <c r="C66" i="1" a="1"/>
  <c r="C66" i="1" s="1"/>
  <c r="C64" i="1" a="1"/>
  <c r="C64" i="1" s="1"/>
  <c r="C63" i="1" a="1"/>
  <c r="C63" i="1" s="1"/>
  <c r="B67" i="1" a="1"/>
  <c r="B67" i="1" s="1"/>
  <c r="B66" i="1" a="1"/>
  <c r="B66" i="1" s="1"/>
  <c r="B101" i="1" l="1"/>
  <c r="B103" i="1" s="1"/>
  <c r="B112" i="1" l="1"/>
  <c r="B113" i="1" s="1"/>
  <c r="B11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<sst xmlns="http://schemas.openxmlformats.org/spreadsheetml/2006/main" count="671" uniqueCount="306">
  <si>
    <t>Heat Exchanger</t>
  </si>
  <si>
    <t xml:space="preserve">Shell and  tube type </t>
  </si>
  <si>
    <t>cold side fluid</t>
  </si>
  <si>
    <t>hot side fluid</t>
  </si>
  <si>
    <t>Parameters</t>
  </si>
  <si>
    <t>383 kelvin and 2MPA</t>
  </si>
  <si>
    <t>Density (rho_(kg/m3))</t>
  </si>
  <si>
    <t>specific Volume (v_(m3/kg))</t>
  </si>
  <si>
    <t>mm</t>
  </si>
  <si>
    <t>458 kelvin and 2MPA</t>
  </si>
  <si>
    <t>thermal conductivity</t>
  </si>
  <si>
    <t>Dynamic viscosity</t>
  </si>
  <si>
    <t>Th,mean</t>
  </si>
  <si>
    <t>Tc,mean</t>
  </si>
  <si>
    <t>Assume Pressure as 2MPA</t>
  </si>
  <si>
    <t>m,hot</t>
  </si>
  <si>
    <t>m,cold</t>
  </si>
  <si>
    <t>kg/sec</t>
  </si>
  <si>
    <t>T1</t>
  </si>
  <si>
    <t>T2</t>
  </si>
  <si>
    <t>T_LMTD</t>
  </si>
  <si>
    <t>R (from formula)</t>
  </si>
  <si>
    <t>S (from formula)</t>
  </si>
  <si>
    <t>Correction factor</t>
  </si>
  <si>
    <t>R-1</t>
  </si>
  <si>
    <t>1-S</t>
  </si>
  <si>
    <t>1-RS</t>
  </si>
  <si>
    <t>((R^2)+1)^(1/2)</t>
  </si>
  <si>
    <t>numerator</t>
  </si>
  <si>
    <t>ln</t>
  </si>
  <si>
    <t>Corretected LMTD factor</t>
  </si>
  <si>
    <t>Heat transfer Area</t>
  </si>
  <si>
    <t>Heat Exchange (Q_kW)</t>
  </si>
  <si>
    <t>user input</t>
  </si>
  <si>
    <t>user output</t>
  </si>
  <si>
    <t>Diameter</t>
  </si>
  <si>
    <t>Area (m2)</t>
  </si>
  <si>
    <t>m</t>
  </si>
  <si>
    <t>Tube Geometry</t>
  </si>
  <si>
    <t>area(m2)</t>
  </si>
  <si>
    <t>tube length(m)</t>
  </si>
  <si>
    <t>number of tubes</t>
  </si>
  <si>
    <t>tube thickness(mm)</t>
  </si>
  <si>
    <t xml:space="preserve">tube pitch </t>
  </si>
  <si>
    <t>Materials</t>
  </si>
  <si>
    <t xml:space="preserve">Carbon Steel </t>
  </si>
  <si>
    <t>Stainless Steel 304</t>
  </si>
  <si>
    <t xml:space="preserve">Admiralty Brass </t>
  </si>
  <si>
    <t>Copper</t>
  </si>
  <si>
    <t xml:space="preserve">Monel 400 </t>
  </si>
  <si>
    <t>k ≈ 21 W/m·K</t>
  </si>
  <si>
    <t>k ≈ 45 W/m·K</t>
  </si>
  <si>
    <t>k ≈ 16 W/m·k</t>
  </si>
  <si>
    <t>k ≈ 111 W/m·K</t>
  </si>
  <si>
    <t>k ≈ 385 W/m·K</t>
  </si>
  <si>
    <t>Thermal Conductivity</t>
  </si>
  <si>
    <t>Tube Materials</t>
  </si>
  <si>
    <t>outer diameter (mm)</t>
  </si>
  <si>
    <t>Inner diameter (mm)</t>
  </si>
  <si>
    <t>k ≈ 9.5 W/m·K</t>
  </si>
  <si>
    <t>k ≈ 17 W/m·K</t>
  </si>
  <si>
    <t xml:space="preserve">Titanium </t>
  </si>
  <si>
    <t>Inconel 600</t>
  </si>
  <si>
    <t>Bundle and Shell diameter</t>
  </si>
  <si>
    <t>k1 constant</t>
  </si>
  <si>
    <t>n1 constant</t>
  </si>
  <si>
    <t xml:space="preserve">triangular pitch </t>
  </si>
  <si>
    <t>no. of passes</t>
  </si>
  <si>
    <t>k1</t>
  </si>
  <si>
    <t>n1</t>
  </si>
  <si>
    <t>Square pitch</t>
  </si>
  <si>
    <t>pt=1.25do</t>
  </si>
  <si>
    <t>pitch</t>
  </si>
  <si>
    <t>no of pass</t>
  </si>
  <si>
    <t xml:space="preserve">pitch </t>
  </si>
  <si>
    <t>triangular</t>
  </si>
  <si>
    <t>square</t>
  </si>
  <si>
    <t>Fₜ (correction factor)</t>
  </si>
  <si>
    <t xml:space="preserve">shell type </t>
  </si>
  <si>
    <t>Base</t>
  </si>
  <si>
    <t>fixed</t>
  </si>
  <si>
    <t>u-tube</t>
  </si>
  <si>
    <t>split-Ring</t>
  </si>
  <si>
    <t>Pull-through</t>
  </si>
  <si>
    <t>slope</t>
  </si>
  <si>
    <t xml:space="preserve">Considering the 
overall heat transfer coeffiecent </t>
  </si>
  <si>
    <t>bundle diameter (Db)</t>
  </si>
  <si>
    <t>Shell type</t>
  </si>
  <si>
    <t>clearance</t>
  </si>
  <si>
    <t>clearance example</t>
  </si>
  <si>
    <t>specific heat (cp_(kj/kgk))</t>
  </si>
  <si>
    <t>tube per pass</t>
  </si>
  <si>
    <t>AESTEIRON PIPE DIMENSIONS &amp; WEIGHTS TO ASME B36.10 / B36.19</t>
  </si>
  <si>
    <t>NOMINAL PIPE SIZE</t>
  </si>
  <si>
    <t>OD</t>
  </si>
  <si>
    <t>SCHEDULE DESIGNATIONS (ASME)</t>
  </si>
  <si>
    <t>WALL THICKNESS</t>
  </si>
  <si>
    <t>ID</t>
  </si>
  <si>
    <t>WEIGHT</t>
  </si>
  <si>
    <t>INCH</t>
  </si>
  <si>
    <t>MM</t>
  </si>
  <si>
    <t>ASME</t>
  </si>
  <si>
    <t>LBS/FOOT</t>
  </si>
  <si>
    <t>KG/METER</t>
  </si>
  <si>
    <t>5S</t>
  </si>
  <si>
    <t>10S</t>
  </si>
  <si>
    <t>-</t>
  </si>
  <si>
    <t>20</t>
  </si>
  <si>
    <t>30</t>
  </si>
  <si>
    <t>STD / 40S</t>
  </si>
  <si>
    <t>40</t>
  </si>
  <si>
    <t>XS / 80S</t>
  </si>
  <si>
    <t>60</t>
  </si>
  <si>
    <t>80</t>
  </si>
  <si>
    <t>100</t>
  </si>
  <si>
    <t>120</t>
  </si>
  <si>
    <t>140 / XX</t>
  </si>
  <si>
    <t>160</t>
  </si>
  <si>
    <t>10</t>
  </si>
  <si>
    <t>STD / 30 / 40S</t>
  </si>
  <si>
    <t>140</t>
  </si>
  <si>
    <t>40 / XS</t>
  </si>
  <si>
    <t>60 / 80S</t>
  </si>
  <si>
    <t>STD / 20 / 40S</t>
  </si>
  <si>
    <t>XS / 30 / 80S</t>
  </si>
  <si>
    <t>STD / 10</t>
  </si>
  <si>
    <t>XS / 40S</t>
  </si>
  <si>
    <t>80S</t>
  </si>
  <si>
    <t>XS / 20 / 80S</t>
  </si>
  <si>
    <t>STD</t>
  </si>
  <si>
    <t>XS / 20</t>
  </si>
  <si>
    <t>industrial standard</t>
  </si>
  <si>
    <t>Schedule (asme)</t>
  </si>
  <si>
    <t>Wall Thickness in inches</t>
  </si>
  <si>
    <t>Wall Thickness in mm</t>
  </si>
  <si>
    <t>outer diameter in mm</t>
  </si>
  <si>
    <t>Tube Cross-Section Area</t>
  </si>
  <si>
    <t>inner x-s/c area</t>
  </si>
  <si>
    <t>nominal pipe size in inch</t>
  </si>
  <si>
    <t>Tube side calculation</t>
  </si>
  <si>
    <t>tube cross section area</t>
  </si>
  <si>
    <t xml:space="preserve">Tube-Side Velocity (uₜ) </t>
  </si>
  <si>
    <t xml:space="preserve">Hot side fluid </t>
  </si>
  <si>
    <t>shell side fluid</t>
  </si>
  <si>
    <t xml:space="preserve">cold side fluid </t>
  </si>
  <si>
    <t>Tube side fluid</t>
  </si>
  <si>
    <t>m/sec</t>
  </si>
  <si>
    <t xml:space="preserve">Reynolds number </t>
  </si>
  <si>
    <t xml:space="preserve"> </t>
  </si>
  <si>
    <t>cold fluid</t>
  </si>
  <si>
    <t>prandlt  number</t>
  </si>
  <si>
    <t>Nusselt number</t>
  </si>
  <si>
    <t xml:space="preserve">heat transfer coeffient </t>
  </si>
  <si>
    <t>Shell side heat transfer coeffiecent</t>
  </si>
  <si>
    <t>Nominal Size (in)</t>
  </si>
  <si>
    <t>Temper</t>
  </si>
  <si>
    <t>Outside Diameter (in)</t>
  </si>
  <si>
    <t>Outside Diameter (mm)</t>
  </si>
  <si>
    <t>Inside Diameter (in)</t>
  </si>
  <si>
    <t>Inside Diameter (mm)</t>
  </si>
  <si>
    <t>Wall Thickness (in)</t>
  </si>
  <si>
    <t>Wall Thickness (mm)</t>
  </si>
  <si>
    <t>Bore Cross Section Area (in2)</t>
  </si>
  <si>
    <t>A</t>
  </si>
  <si>
    <t>D</t>
  </si>
  <si>
    <t>industrial tube size OD</t>
  </si>
  <si>
    <t>industrial tube size ID</t>
  </si>
  <si>
    <t>industrial tube thickness</t>
  </si>
  <si>
    <t>Shell internal diameter mm</t>
  </si>
  <si>
    <t>Baffle type</t>
  </si>
  <si>
    <t>Baffle cut %</t>
  </si>
  <si>
    <t>baffle spacing  lb</t>
  </si>
  <si>
    <t>cross flow area</t>
  </si>
  <si>
    <t>Shell side mass</t>
  </si>
  <si>
    <t>shell side velocity</t>
  </si>
  <si>
    <t>shell side equivalent diameter</t>
  </si>
  <si>
    <t>equivalent diameter</t>
  </si>
  <si>
    <t>pitch arrangement</t>
  </si>
  <si>
    <t>reynold number</t>
  </si>
  <si>
    <t>prandtl number</t>
  </si>
  <si>
    <t>nusselt number</t>
  </si>
  <si>
    <t xml:space="preserve">heat transfer coefficient </t>
  </si>
  <si>
    <t>mass velocity</t>
  </si>
  <si>
    <t>Shell-Side jh Factor</t>
  </si>
  <si>
    <t>Overall U &amp; Verification</t>
  </si>
  <si>
    <t>Fouling Factors</t>
  </si>
  <si>
    <t>Tube-Side Fouling Factor (Rdᵢ)</t>
  </si>
  <si>
    <t xml:space="preserve">Shell-Side Fouling Factor (Rd₀ </t>
  </si>
  <si>
    <t>1/ho</t>
  </si>
  <si>
    <t>r2</t>
  </si>
  <si>
    <t>(doln(d0/di))/2kw</t>
  </si>
  <si>
    <t>(d0/di)*(1/hid)</t>
  </si>
  <si>
    <t>(d0/di)*(1/hi)</t>
  </si>
  <si>
    <t>R1</t>
  </si>
  <si>
    <t>R2</t>
  </si>
  <si>
    <t>R3</t>
  </si>
  <si>
    <t>R4</t>
  </si>
  <si>
    <t>R5</t>
  </si>
  <si>
    <t>overall U</t>
  </si>
  <si>
    <t>error</t>
  </si>
  <si>
    <t>Pressure Drop</t>
  </si>
  <si>
    <t>Tube-Side Pressure Drop (ΔPₜ)</t>
  </si>
  <si>
    <t>Tube Friction Factor (jf)</t>
  </si>
  <si>
    <t>pascal</t>
  </si>
  <si>
    <t>Shell-Side Pressure Drop (ΔPₜ)</t>
  </si>
  <si>
    <t>8jf(Ds/de)*(L/Lb)*(rho_c*us2/2)(1)</t>
  </si>
  <si>
    <t>Shell-Side jf Factor</t>
  </si>
  <si>
    <t>kpa</t>
  </si>
  <si>
    <t>tube sheet design</t>
  </si>
  <si>
    <t>shell diameter inner mm</t>
  </si>
  <si>
    <t>operating pressure mpa</t>
  </si>
  <si>
    <t>desgin pressure mpa</t>
  </si>
  <si>
    <t>tube sheet material</t>
  </si>
  <si>
    <t>brass for copper tube</t>
  </si>
  <si>
    <t>allowable bending stress mpa</t>
  </si>
  <si>
    <t>n/m2</t>
  </si>
  <si>
    <t>configration factor</t>
  </si>
  <si>
    <t>tube sheet thickness calculation</t>
  </si>
  <si>
    <t>Thickness</t>
  </si>
  <si>
    <t>Length x Width</t>
  </si>
  <si>
    <t>1200 x 600 mm</t>
  </si>
  <si>
    <t>4ft x 2ft</t>
  </si>
  <si>
    <t>2000 x 1000 mm</t>
  </si>
  <si>
    <t>0.7 mm</t>
  </si>
  <si>
    <t>0.9 mm</t>
  </si>
  <si>
    <t>1.0 mm</t>
  </si>
  <si>
    <t>1.2 mm</t>
  </si>
  <si>
    <t>1.5 mm</t>
  </si>
  <si>
    <t>1.6 mm</t>
  </si>
  <si>
    <t>2.0 mm</t>
  </si>
  <si>
    <t>2.5 mm</t>
  </si>
  <si>
    <t>3.0 mm</t>
  </si>
  <si>
    <t>3/16 ins</t>
  </si>
  <si>
    <t>1/4 ins</t>
  </si>
  <si>
    <t>5/16 ins</t>
  </si>
  <si>
    <t>3/8 ins</t>
  </si>
  <si>
    <t>1/2 ins</t>
  </si>
  <si>
    <t>5/8 ins</t>
  </si>
  <si>
    <t>3/4 ins</t>
  </si>
  <si>
    <t>1 ins</t>
  </si>
  <si>
    <t>1 1/4 ins</t>
  </si>
  <si>
    <t>1 1/2 ins</t>
  </si>
  <si>
    <t>1 3/4 ins</t>
  </si>
  <si>
    <t>2 ins</t>
  </si>
  <si>
    <t>LMTD calculation _counter flow</t>
  </si>
  <si>
    <t>ASME B16.5 Flange Dimensions Master Table</t>
  </si>
  <si>
    <t>Pressure Class</t>
  </si>
  <si>
    <t>NPS (Nominal Pipe Size)</t>
  </si>
  <si>
    <t>O - Flange OD (mm)</t>
  </si>
  <si>
    <t>tf - Flange Thickness (mm)</t>
  </si>
  <si>
    <t>150#</t>
  </si>
  <si>
    <t>1/2</t>
  </si>
  <si>
    <t>3/4</t>
  </si>
  <si>
    <t>1</t>
  </si>
  <si>
    <t>1-1/4</t>
  </si>
  <si>
    <t>1-1/2</t>
  </si>
  <si>
    <t>2</t>
  </si>
  <si>
    <t>2-1/2</t>
  </si>
  <si>
    <t>3</t>
  </si>
  <si>
    <t>3-1/2</t>
  </si>
  <si>
    <t>4</t>
  </si>
  <si>
    <t>5</t>
  </si>
  <si>
    <t>6</t>
  </si>
  <si>
    <t>8</t>
  </si>
  <si>
    <t>12</t>
  </si>
  <si>
    <t>14</t>
  </si>
  <si>
    <t>16</t>
  </si>
  <si>
    <t>18</t>
  </si>
  <si>
    <t>24</t>
  </si>
  <si>
    <t>300#</t>
  </si>
  <si>
    <t>400#</t>
  </si>
  <si>
    <t>600#</t>
  </si>
  <si>
    <t>900#</t>
  </si>
  <si>
    <t>1500#</t>
  </si>
  <si>
    <t>2500#</t>
  </si>
  <si>
    <t>ID - Flange ID (mm)</t>
  </si>
  <si>
    <t>pipe data app</t>
  </si>
  <si>
    <t>standard thickness  matching taken</t>
  </si>
  <si>
    <t>Dish end calculation</t>
  </si>
  <si>
    <t>ASME thickness formula</t>
  </si>
  <si>
    <t>0.5pd/(SE-0.1P)</t>
  </si>
  <si>
    <t>design pressure</t>
  </si>
  <si>
    <t>Inside diameter</t>
  </si>
  <si>
    <t>s</t>
  </si>
  <si>
    <t>ee</t>
  </si>
  <si>
    <t>thickness of dish end</t>
  </si>
  <si>
    <t>corrosion allaowance</t>
  </si>
  <si>
    <t>final thickness</t>
  </si>
  <si>
    <t>0.9*d</t>
  </si>
  <si>
    <t>0.17*d</t>
  </si>
  <si>
    <t>0.25*d)+sf+t</t>
  </si>
  <si>
    <t>(D * 1.15) + 2SF</t>
  </si>
  <si>
    <t>crown radius</t>
  </si>
  <si>
    <t>knuckle radius</t>
  </si>
  <si>
    <t>total height</t>
  </si>
  <si>
    <t>blanck diameter</t>
  </si>
  <si>
    <t>straight flange</t>
  </si>
  <si>
    <t>kelvin</t>
  </si>
  <si>
    <t>T_h,in (T1)</t>
  </si>
  <si>
    <t>T_h,out (T2)</t>
  </si>
  <si>
    <t>T_c,in (t1)</t>
  </si>
  <si>
    <t>T_c,out  (t2)</t>
  </si>
  <si>
    <t>cel</t>
  </si>
  <si>
    <t>equivalent diameter m</t>
  </si>
  <si>
    <t>equivalent diameter mm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</si>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</sst>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0"/>
    <numFmt numFmtId="166" formatCode="0.0000"/>
    <numFmt numFmtId="167" formatCode="0.0"/>
    <numFmt numFmtId="168" formatCode="0.0000000"/>
  </numFmts>
  <fonts count="20" x14ac:knownFonts="1">
    <font>
      <sz val="11"/>
      <color theme="1"/>
      <name val="Aptos Narrow"/>
      <family val="2"/>
      <scheme val="minor"/>
    </font>
    <font>
      <sz val="36"/>
      <color theme="1"/>
      <name val="Times New Roman"/>
      <family val="1"/>
    </font>
    <font>
      <sz val="20"/>
      <color theme="1"/>
      <name val="Times New Roman"/>
      <family val="1"/>
    </font>
    <font>
      <sz val="11"/>
      <color theme="1"/>
      <name val="Aptos Narrow"/>
      <family val="2"/>
    </font>
    <font>
      <sz val="8"/>
      <name val="Aptos Narrow"/>
      <family val="2"/>
      <scheme val="minor"/>
    </font>
    <font>
      <sz val="11"/>
      <color theme="1"/>
      <name val="Consolas"/>
      <family val="3"/>
    </font>
    <font>
      <b/>
      <sz val="16"/>
      <color rgb="FFFFFFFF"/>
      <name val="Segoe UI"/>
    </font>
    <font>
      <b/>
      <sz val="10"/>
      <color rgb="FFFFFFFF"/>
      <name val="Segoe UI"/>
    </font>
    <font>
      <b/>
      <sz val="9"/>
      <color rgb="FFFFFFFF"/>
      <name val="Segoe UI"/>
    </font>
    <font>
      <b/>
      <sz val="10"/>
      <color rgb="FF000000"/>
      <name val="Segoe UI"/>
    </font>
    <font>
      <b/>
      <sz val="10"/>
      <color rgb="FFA30000"/>
      <name val="Segoe UI"/>
    </font>
    <font>
      <sz val="10"/>
      <color rgb="FF000000"/>
      <name val="Segoe UI"/>
    </font>
    <font>
      <sz val="10"/>
      <color rgb="FFA30000"/>
      <name val="Segoe UI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6"/>
      <color rgb="FF1B365D"/>
      <name val="Segoe UI"/>
    </font>
    <font>
      <b/>
      <sz val="11"/>
      <color rgb="FFFFFFFF"/>
      <name val="Segoe UI"/>
    </font>
    <font>
      <sz val="10"/>
      <name val="Segoe UI"/>
    </font>
  </fonts>
  <fills count="1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800000"/>
        <bgColor rgb="FF800000"/>
      </patternFill>
    </fill>
    <fill>
      <patternFill patternType="solid">
        <fgColor rgb="FFA30000"/>
        <bgColor rgb="FFA30000"/>
      </patternFill>
    </fill>
    <fill>
      <patternFill patternType="solid">
        <fgColor rgb="FFF2E6E6"/>
        <bgColor rgb="FFF2E6E6"/>
      </patternFill>
    </fill>
    <fill>
      <patternFill patternType="solid">
        <fgColor rgb="FFFFFFFF"/>
        <bgColor rgb="FFFFFFFF"/>
      </patternFill>
    </fill>
    <fill>
      <patternFill patternType="solid">
        <fgColor rgb="FFF9F2F2"/>
        <bgColor rgb="FFF9F2F2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1B365D"/>
        <bgColor rgb="FF1B365D"/>
      </patternFill>
    </fill>
    <fill>
      <patternFill patternType="solid">
        <fgColor rgb="FFF5F7FA"/>
        <bgColor rgb="FFF5F7FA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3" fillId="0" borderId="0" xfId="0" applyFont="1"/>
    <xf numFmtId="0" fontId="0" fillId="0" borderId="9" xfId="0" applyBorder="1"/>
    <xf numFmtId="0" fontId="0" fillId="3" borderId="9" xfId="0" applyFill="1" applyBorder="1"/>
    <xf numFmtId="0" fontId="0" fillId="4" borderId="9" xfId="0" applyFill="1" applyBorder="1"/>
    <xf numFmtId="0" fontId="0" fillId="3" borderId="0" xfId="0" applyFill="1"/>
    <xf numFmtId="0" fontId="0" fillId="4" borderId="0" xfId="0" applyFill="1"/>
    <xf numFmtId="164" fontId="0" fillId="4" borderId="9" xfId="0" applyNumberFormat="1" applyFill="1" applyBorder="1"/>
    <xf numFmtId="165" fontId="0" fillId="4" borderId="9" xfId="0" applyNumberFormat="1" applyFill="1" applyBorder="1"/>
    <xf numFmtId="0" fontId="5" fillId="0" borderId="9" xfId="0" applyFont="1" applyBorder="1" applyAlignment="1">
      <alignment vertical="center"/>
    </xf>
    <xf numFmtId="0" fontId="0" fillId="0" borderId="0" xfId="0" applyAlignment="1">
      <alignment wrapText="1"/>
    </xf>
    <xf numFmtId="0" fontId="7" fillId="6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8" borderId="13" xfId="0" applyFont="1" applyFill="1" applyBorder="1" applyAlignment="1">
      <alignment horizontal="center" vertical="center" wrapText="1"/>
    </xf>
    <xf numFmtId="164" fontId="11" fillId="8" borderId="13" xfId="0" applyNumberFormat="1" applyFont="1" applyFill="1" applyBorder="1" applyAlignment="1">
      <alignment horizontal="right" vertical="center"/>
    </xf>
    <xf numFmtId="4" fontId="12" fillId="8" borderId="13" xfId="0" applyNumberFormat="1" applyFont="1" applyFill="1" applyBorder="1" applyAlignment="1">
      <alignment horizontal="right" vertical="center"/>
    </xf>
    <xf numFmtId="4" fontId="11" fillId="8" borderId="13" xfId="0" applyNumberFormat="1" applyFont="1" applyFill="1" applyBorder="1" applyAlignment="1">
      <alignment horizontal="right" vertical="center"/>
    </xf>
    <xf numFmtId="0" fontId="9" fillId="9" borderId="13" xfId="0" applyFont="1" applyFill="1" applyBorder="1" applyAlignment="1">
      <alignment horizontal="center" vertical="center" wrapText="1"/>
    </xf>
    <xf numFmtId="164" fontId="11" fillId="9" borderId="13" xfId="0" applyNumberFormat="1" applyFont="1" applyFill="1" applyBorder="1" applyAlignment="1">
      <alignment horizontal="right" vertical="center"/>
    </xf>
    <xf numFmtId="4" fontId="12" fillId="9" borderId="13" xfId="0" applyNumberFormat="1" applyFont="1" applyFill="1" applyBorder="1" applyAlignment="1">
      <alignment horizontal="right" vertical="center"/>
    </xf>
    <xf numFmtId="4" fontId="11" fillId="9" borderId="13" xfId="0" applyNumberFormat="1" applyFont="1" applyFill="1" applyBorder="1" applyAlignment="1">
      <alignment horizontal="right" vertical="center"/>
    </xf>
    <xf numFmtId="0" fontId="15" fillId="0" borderId="14" xfId="0" applyFont="1" applyBorder="1" applyAlignment="1">
      <alignment horizontal="left" vertical="center" wrapText="1" indent="1"/>
    </xf>
    <xf numFmtId="0" fontId="14" fillId="0" borderId="14" xfId="0" applyFont="1" applyBorder="1" applyAlignment="1">
      <alignment horizontal="left" vertical="center" wrapText="1" indent="1"/>
    </xf>
    <xf numFmtId="16" fontId="16" fillId="0" borderId="15" xfId="0" applyNumberFormat="1" applyFont="1" applyBorder="1" applyAlignment="1">
      <alignment horizontal="right" wrapText="1"/>
    </xf>
    <xf numFmtId="17" fontId="16" fillId="0" borderId="15" xfId="0" applyNumberFormat="1" applyFont="1" applyBorder="1" applyAlignment="1">
      <alignment horizontal="right" wrapText="1"/>
    </xf>
    <xf numFmtId="0" fontId="16" fillId="0" borderId="15" xfId="0" applyFont="1" applyBorder="1" applyAlignment="1">
      <alignment wrapText="1"/>
    </xf>
    <xf numFmtId="12" fontId="16" fillId="0" borderId="15" xfId="0" applyNumberFormat="1" applyFont="1" applyBorder="1" applyAlignment="1">
      <alignment wrapText="1"/>
    </xf>
    <xf numFmtId="0" fontId="0" fillId="11" borderId="0" xfId="0" applyFill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0" fillId="12" borderId="0" xfId="0" applyFill="1"/>
    <xf numFmtId="0" fontId="18" fillId="13" borderId="0" xfId="0" applyFont="1" applyFill="1" applyAlignment="1">
      <alignment horizontal="center" vertical="center"/>
    </xf>
    <xf numFmtId="0" fontId="19" fillId="14" borderId="16" xfId="0" applyFont="1" applyFill="1" applyBorder="1" applyAlignment="1">
      <alignment horizontal="center"/>
    </xf>
    <xf numFmtId="1" fontId="19" fillId="14" borderId="16" xfId="0" applyNumberFormat="1" applyFont="1" applyFill="1" applyBorder="1" applyAlignment="1">
      <alignment horizontal="right"/>
    </xf>
    <xf numFmtId="167" fontId="19" fillId="14" borderId="16" xfId="0" applyNumberFormat="1" applyFont="1" applyFill="1" applyBorder="1" applyAlignment="1">
      <alignment horizontal="right"/>
    </xf>
    <xf numFmtId="0" fontId="19" fillId="0" borderId="16" xfId="0" applyFont="1" applyBorder="1" applyAlignment="1">
      <alignment horizontal="center"/>
    </xf>
    <xf numFmtId="1" fontId="19" fillId="0" borderId="16" xfId="0" applyNumberFormat="1" applyFont="1" applyBorder="1" applyAlignment="1">
      <alignment horizontal="right"/>
    </xf>
    <xf numFmtId="167" fontId="19" fillId="0" borderId="16" xfId="0" applyNumberFormat="1" applyFont="1" applyBorder="1" applyAlignment="1">
      <alignment horizontal="right"/>
    </xf>
    <xf numFmtId="1" fontId="0" fillId="0" borderId="0" xfId="0" applyNumberFormat="1"/>
    <xf numFmtId="0" fontId="14" fillId="0" borderId="0" xfId="0" applyFont="1"/>
    <xf numFmtId="168" fontId="0" fillId="0" borderId="9" xfId="0" applyNumberFormat="1" applyBorder="1"/>
    <xf numFmtId="166" fontId="0" fillId="4" borderId="0" xfId="0" applyNumberFormat="1" applyFill="1"/>
    <xf numFmtId="2" fontId="0" fillId="4" borderId="0" xfId="0" applyNumberFormat="1" applyFill="1"/>
    <xf numFmtId="0" fontId="0" fillId="10" borderId="0" xfId="0" applyFill="1"/>
    <xf numFmtId="0" fontId="0" fillId="0" borderId="0" xfId="0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9" fillId="7" borderId="13" xfId="0" applyFont="1" applyFill="1" applyBorder="1" applyAlignment="1">
      <alignment horizontal="center" vertical="center" wrapText="1"/>
    </xf>
    <xf numFmtId="0" fontId="0" fillId="7" borderId="13" xfId="0" applyFill="1" applyBorder="1"/>
    <xf numFmtId="0" fontId="10" fillId="7" borderId="13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0" fillId="0" borderId="0" xfId="0"/>
    <xf numFmtId="0" fontId="7" fillId="6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202848</xdr:colOff>
      <xdr:row>127</xdr:row>
      <xdr:rowOff>61736</xdr:rowOff>
    </xdr:from>
    <xdr:to>
      <xdr:col>11</xdr:col>
      <xdr:colOff>48459</xdr:colOff>
      <xdr:row>136</xdr:row>
      <xdr:rowOff>154068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9FC8DA-E11D-F9DC-C03E-D48F969BE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2292" y="24888472"/>
          <a:ext cx="8497486" cy="1838582"/>
        </a:xfrm>
        <a:prstGeom prst="rect">
          <a:avLst/>
        </a:prstGeom>
      </xdr:spPr>
    </xdr:pic>
    <xdr:clientData/>
  </xdr:twoCellAnchor>
  <xdr:twoCellAnchor editAs="oneCell">
    <xdr:from>
      <xdr:col>4</xdr:col>
      <xdr:colOff>355248</xdr:colOff>
      <xdr:row>128</xdr:row>
      <xdr:rowOff>20108</xdr:rowOff>
    </xdr:from>
    <xdr:to>
      <xdr:col>11</xdr:col>
      <xdr:colOff>200859</xdr:colOff>
      <xdr:row>137</xdr:row>
      <xdr:rowOff>112440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82B16C-BC66-D8EE-8854-39A4813FC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4692" y="25040872"/>
          <a:ext cx="8497486" cy="18385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209D6-9047-4823-8858-1321B9503C7F}">
  <sheetPr>
    <pageSetUpPr fitToPage="1"/>
  </sheetPr>
  <dimension ref="A1:AF140"/>
  <sheetViews>
    <sheetView tabSelected="1" topLeftCell="A5" zoomScale="113" zoomScaleNormal="25" workbookViewId="0">
      <selection activeCell="D10" sqref="D10"/>
    </sheetView>
  </sheetViews>
  <sheetFormatPr defaultRowHeight="15" x14ac:dyDescent="0.25"/>
  <cols>
    <col min="1" max="1" width="30" bestFit="1" customWidth="1"/>
    <col min="2" max="2" width="12.85546875" bestFit="1" customWidth="1"/>
    <col min="4" max="4" width="23.140625" bestFit="1" customWidth="1"/>
    <col min="5" max="5" width="29.140625" bestFit="1" customWidth="1"/>
    <col min="6" max="6" width="12.28515625" bestFit="1" customWidth="1"/>
    <col min="7" max="7" width="16.140625" bestFit="1" customWidth="1"/>
    <col min="8" max="8" width="19.7109375" bestFit="1" customWidth="1"/>
    <col min="9" max="9" width="26" customWidth="1"/>
    <col min="10" max="10" width="15.140625" bestFit="1" customWidth="1"/>
    <col min="11" max="11" width="11.42578125" bestFit="1" customWidth="1"/>
    <col min="12" max="13" width="6.85546875" bestFit="1" customWidth="1"/>
  </cols>
  <sheetData>
    <row r="1" spans="1:32" x14ac:dyDescent="0.25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4"/>
    </row>
    <row r="2" spans="1:32" x14ac:dyDescent="0.25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7"/>
    </row>
    <row r="3" spans="1:32" x14ac:dyDescent="0.25">
      <c r="A3" s="55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7"/>
    </row>
    <row r="4" spans="1:32" x14ac:dyDescent="0.25">
      <c r="A4" s="58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60"/>
    </row>
    <row r="5" spans="1:32" x14ac:dyDescent="0.25">
      <c r="A5" s="61" t="s">
        <v>1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3"/>
    </row>
    <row r="6" spans="1:32" x14ac:dyDescent="0.25">
      <c r="A6" s="64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6"/>
    </row>
    <row r="7" spans="1:32" x14ac:dyDescent="0.25">
      <c r="A7" s="2" t="s">
        <v>32</v>
      </c>
      <c r="B7" s="51">
        <f>1500</f>
        <v>1500</v>
      </c>
      <c r="C7" s="51"/>
      <c r="I7" s="5" t="s">
        <v>148</v>
      </c>
      <c r="J7" s="67" t="s">
        <v>9</v>
      </c>
      <c r="K7" s="67"/>
      <c r="L7" s="67"/>
      <c r="M7" s="67" t="s">
        <v>5</v>
      </c>
      <c r="N7" s="67"/>
      <c r="O7" s="67"/>
    </row>
    <row r="8" spans="1:32" x14ac:dyDescent="0.25">
      <c r="B8" t="s">
        <v>302</v>
      </c>
      <c r="C8" t="s">
        <v>297</v>
      </c>
      <c r="F8" t="s">
        <v>305</v>
      </c>
      <c r="G8" t="s">
        <v>142</v>
      </c>
      <c r="H8" t="s">
        <v>143</v>
      </c>
      <c r="I8" s="3" t="s">
        <v>4</v>
      </c>
      <c r="J8" s="51" t="s">
        <v>3</v>
      </c>
      <c r="K8" s="51"/>
      <c r="L8" s="51"/>
      <c r="M8" s="51" t="s">
        <v>2</v>
      </c>
      <c r="N8" s="51"/>
      <c r="O8" s="51"/>
      <c r="AF8" s="1"/>
    </row>
    <row r="9" spans="1:32" x14ac:dyDescent="0.25">
      <c r="A9" s="2" t="s">
        <v>298</v>
      </c>
      <c r="B9" s="3">
        <v>210</v>
      </c>
      <c r="C9" s="3">
        <f>B9+273</f>
        <v>483</v>
      </c>
      <c r="F9" t="s">
        <v>305</v>
      </c>
      <c r="G9" t="s">
        <v>144</v>
      </c>
      <c r="H9" t="s">
        <v>145</v>
      </c>
      <c r="I9" s="3" t="s">
        <v>90</v>
      </c>
      <c r="J9" s="51">
        <v>4.4206500000000002</v>
      </c>
      <c r="K9" s="51"/>
      <c r="L9" s="51"/>
      <c r="M9" s="51">
        <v>4.2256999999999998</v>
      </c>
      <c r="N9" s="51"/>
      <c r="O9" s="51"/>
      <c r="AF9" s="1"/>
    </row>
    <row r="10" spans="1:32" x14ac:dyDescent="0.25">
      <c r="A10" s="2" t="s">
        <v>299</v>
      </c>
      <c r="B10" s="3">
        <v>160</v>
      </c>
      <c r="C10" s="3">
        <f t="shared" ref="C10:C12" si="0">B10+273</f>
        <v>433</v>
      </c>
      <c r="I10" s="3" t="s">
        <v>6</v>
      </c>
      <c r="J10" s="51">
        <v>988.23239999999998</v>
      </c>
      <c r="K10" s="51"/>
      <c r="L10" s="51"/>
      <c r="M10" s="51">
        <v>951.9588</v>
      </c>
      <c r="N10" s="51"/>
      <c r="O10" s="51"/>
    </row>
    <row r="11" spans="1:32" x14ac:dyDescent="0.25">
      <c r="A11" s="2" t="s">
        <v>300</v>
      </c>
      <c r="B11" s="3">
        <v>110</v>
      </c>
      <c r="C11" s="3">
        <f t="shared" si="0"/>
        <v>383</v>
      </c>
      <c r="I11" s="3" t="s">
        <v>7</v>
      </c>
      <c r="J11" s="51">
        <f>1.1723/1000</f>
        <v>1.1722999999999998E-3</v>
      </c>
      <c r="K11" s="51"/>
      <c r="L11" s="51"/>
      <c r="M11" s="51">
        <f>1.0505/1000</f>
        <v>1.0505E-3</v>
      </c>
      <c r="N11" s="51"/>
      <c r="O11" s="51"/>
    </row>
    <row r="12" spans="1:32" x14ac:dyDescent="0.25">
      <c r="A12" s="2" t="s">
        <v>301</v>
      </c>
      <c r="B12" s="3">
        <v>150</v>
      </c>
      <c r="C12" s="3">
        <f t="shared" si="0"/>
        <v>423</v>
      </c>
      <c r="I12" s="3" t="s">
        <v>10</v>
      </c>
      <c r="J12" s="51">
        <v>0.66956000000000004</v>
      </c>
      <c r="K12" s="51"/>
      <c r="L12" s="51"/>
      <c r="M12" s="51">
        <v>0.68403999999999998</v>
      </c>
      <c r="N12" s="51"/>
      <c r="O12" s="51"/>
    </row>
    <row r="13" spans="1:32" x14ac:dyDescent="0.25">
      <c r="A13" s="2" t="s">
        <v>12</v>
      </c>
      <c r="B13" s="4">
        <f>(B9+B10)/2</f>
        <v>185</v>
      </c>
      <c r="C13" s="4">
        <f>(C9+C10)/2</f>
        <v>458</v>
      </c>
      <c r="I13" s="3" t="s">
        <v>11</v>
      </c>
      <c r="J13" s="51">
        <v>1.46439E-4</v>
      </c>
      <c r="K13" s="51"/>
      <c r="L13" s="51"/>
      <c r="M13" s="51">
        <v>2.1365699999999999E-4</v>
      </c>
      <c r="N13" s="51"/>
      <c r="O13" s="51"/>
    </row>
    <row r="14" spans="1:32" x14ac:dyDescent="0.25">
      <c r="A14" s="2" t="s">
        <v>13</v>
      </c>
      <c r="B14" s="4">
        <f>((B11+B12)/2)</f>
        <v>130</v>
      </c>
      <c r="C14" s="4">
        <f>((C11+C12)/2)</f>
        <v>403</v>
      </c>
    </row>
    <row r="16" spans="1:32" ht="30" x14ac:dyDescent="0.25">
      <c r="A16" s="46" t="s">
        <v>14</v>
      </c>
      <c r="B16" s="46"/>
      <c r="C16" s="46"/>
      <c r="D16" s="46"/>
      <c r="E16" s="10" t="s">
        <v>85</v>
      </c>
      <c r="F16" s="5">
        <v>600</v>
      </c>
      <c r="I16" s="5"/>
      <c r="J16" t="s">
        <v>33</v>
      </c>
    </row>
    <row r="17" spans="1:10" x14ac:dyDescent="0.25">
      <c r="I17" s="6"/>
      <c r="J17" t="s">
        <v>34</v>
      </c>
    </row>
    <row r="18" spans="1:10" x14ac:dyDescent="0.25">
      <c r="A18" s="2" t="s">
        <v>15</v>
      </c>
      <c r="B18" s="4">
        <f>(B7/(J9*(B9-B10)))</f>
        <v>6.7863323266940379</v>
      </c>
      <c r="C18" s="2" t="s">
        <v>17</v>
      </c>
    </row>
    <row r="19" spans="1:10" x14ac:dyDescent="0.25">
      <c r="A19" s="2" t="s">
        <v>16</v>
      </c>
      <c r="B19" s="4">
        <f>(B7/(M9*(B12-B11)))</f>
        <v>8.8742693518233668</v>
      </c>
      <c r="C19" s="2" t="s">
        <v>17</v>
      </c>
    </row>
    <row r="21" spans="1:10" x14ac:dyDescent="0.25">
      <c r="A21" s="46" t="s">
        <v>244</v>
      </c>
      <c r="B21" s="46"/>
      <c r="C21" s="46"/>
      <c r="D21" s="46"/>
    </row>
    <row r="22" spans="1:10" x14ac:dyDescent="0.25">
      <c r="A22" s="2" t="s">
        <v>18</v>
      </c>
      <c r="B22" s="4">
        <f>B9-B12</f>
        <v>60</v>
      </c>
      <c r="E22" s="2" t="s">
        <v>21</v>
      </c>
      <c r="F22" s="7">
        <f>(B9-B10)/(B12-B11)</f>
        <v>1.25</v>
      </c>
    </row>
    <row r="23" spans="1:10" x14ac:dyDescent="0.25">
      <c r="A23" s="2" t="s">
        <v>19</v>
      </c>
      <c r="B23" s="4">
        <f>B10-B11</f>
        <v>50</v>
      </c>
      <c r="E23" s="2" t="s">
        <v>22</v>
      </c>
      <c r="F23" s="7">
        <f>(B12-B11)/(B9-B11)</f>
        <v>0.4</v>
      </c>
    </row>
    <row r="24" spans="1:10" x14ac:dyDescent="0.25">
      <c r="A24" s="2" t="s">
        <v>20</v>
      </c>
      <c r="B24" s="4">
        <f>(B22-B23)/LN(B22/B23)</f>
        <v>54.848149477470784</v>
      </c>
      <c r="E24" s="2" t="s">
        <v>24</v>
      </c>
      <c r="F24" s="7">
        <f>F22-1</f>
        <v>0.25</v>
      </c>
    </row>
    <row r="25" spans="1:10" x14ac:dyDescent="0.25">
      <c r="E25" s="2" t="s">
        <v>25</v>
      </c>
      <c r="F25" s="7">
        <f>1-F23</f>
        <v>0.6</v>
      </c>
    </row>
    <row r="26" spans="1:10" x14ac:dyDescent="0.25">
      <c r="A26" s="46" t="s">
        <v>23</v>
      </c>
      <c r="B26" s="46"/>
      <c r="C26" s="46"/>
      <c r="D26" s="47"/>
      <c r="E26" s="2" t="s">
        <v>26</v>
      </c>
      <c r="F26" s="7">
        <f>(1-(F22*F23))</f>
        <v>0.5</v>
      </c>
    </row>
    <row r="27" spans="1:10" x14ac:dyDescent="0.25">
      <c r="A27" s="2" t="s">
        <v>28</v>
      </c>
      <c r="B27" s="4">
        <f>F27*LN(F25/F26)</f>
        <v>0.29185689482846505</v>
      </c>
      <c r="E27" s="2" t="s">
        <v>27</v>
      </c>
      <c r="F27" s="8">
        <f>((F22^2)+1)^(1/2)</f>
        <v>1.6007810593582121</v>
      </c>
    </row>
    <row r="28" spans="1:10" x14ac:dyDescent="0.25">
      <c r="A28" s="2"/>
      <c r="B28" s="4">
        <f>(2-(($F$23*($F$22+1-$F$27))))</f>
        <v>1.7403124237432848</v>
      </c>
    </row>
    <row r="29" spans="1:10" x14ac:dyDescent="0.25">
      <c r="A29" s="2"/>
      <c r="B29" s="4">
        <f>(2-(($F$23*($F$22+1+$F$27))))</f>
        <v>0.45968757625671497</v>
      </c>
    </row>
    <row r="30" spans="1:10" x14ac:dyDescent="0.25">
      <c r="A30" s="2" t="s">
        <v>29</v>
      </c>
      <c r="B30" s="4">
        <f>F24*(LN(B28/B29))</f>
        <v>0.33281821332056299</v>
      </c>
    </row>
    <row r="31" spans="1:10" x14ac:dyDescent="0.25">
      <c r="A31" s="2" t="s">
        <v>77</v>
      </c>
      <c r="B31" s="4">
        <f>(B27/B30)</f>
        <v>0.87692585065155393</v>
      </c>
      <c r="C31" s="27"/>
    </row>
    <row r="32" spans="1:10" x14ac:dyDescent="0.25">
      <c r="A32" s="2" t="s">
        <v>30</v>
      </c>
      <c r="B32" s="4">
        <f>B31*B24</f>
        <v>48.097760137194648</v>
      </c>
      <c r="C32" s="27"/>
    </row>
    <row r="34" spans="1:9" x14ac:dyDescent="0.25">
      <c r="A34" s="47" t="s">
        <v>31</v>
      </c>
      <c r="B34" s="69"/>
      <c r="C34" s="69"/>
      <c r="D34" s="70"/>
    </row>
    <row r="36" spans="1:9" x14ac:dyDescent="0.25">
      <c r="A36" s="2" t="s">
        <v>36</v>
      </c>
      <c r="B36" s="4">
        <f>(B7*1000)/(F16*B32)</f>
        <v>51.977472399316909</v>
      </c>
    </row>
    <row r="38" spans="1:9" x14ac:dyDescent="0.25">
      <c r="A38" s="46" t="s">
        <v>38</v>
      </c>
      <c r="B38" s="46"/>
      <c r="C38" s="46"/>
      <c r="D38" s="46"/>
      <c r="G38" s="46" t="s">
        <v>56</v>
      </c>
      <c r="H38" s="46"/>
    </row>
    <row r="39" spans="1:9" x14ac:dyDescent="0.25">
      <c r="A39" s="68" t="s">
        <v>35</v>
      </c>
      <c r="B39" s="50"/>
      <c r="C39" s="50"/>
      <c r="D39" s="50"/>
      <c r="G39" s="9" t="s">
        <v>44</v>
      </c>
      <c r="H39" s="2" t="s">
        <v>55</v>
      </c>
    </row>
    <row r="40" spans="1:9" x14ac:dyDescent="0.25">
      <c r="A40" s="2" t="s">
        <v>8</v>
      </c>
      <c r="B40" s="3">
        <v>22.2</v>
      </c>
      <c r="C40">
        <v>2</v>
      </c>
      <c r="D40" t="s">
        <v>57</v>
      </c>
      <c r="E40" s="5">
        <v>22.2</v>
      </c>
      <c r="G40" s="2" t="s">
        <v>51</v>
      </c>
      <c r="H40" s="9" t="s">
        <v>45</v>
      </c>
      <c r="I40">
        <v>45</v>
      </c>
    </row>
    <row r="41" spans="1:9" x14ac:dyDescent="0.25">
      <c r="A41" s="2" t="s">
        <v>37</v>
      </c>
      <c r="B41" s="2">
        <f>B40/1000</f>
        <v>2.2200000000000001E-2</v>
      </c>
      <c r="D41" t="s">
        <v>58</v>
      </c>
      <c r="E41" s="5">
        <v>19.899999999999999</v>
      </c>
      <c r="F41">
        <v>1</v>
      </c>
      <c r="G41" s="9" t="s">
        <v>52</v>
      </c>
      <c r="H41" s="2" t="s">
        <v>46</v>
      </c>
      <c r="I41">
        <v>16</v>
      </c>
    </row>
    <row r="42" spans="1:9" x14ac:dyDescent="0.25">
      <c r="A42" s="2" t="s">
        <v>39</v>
      </c>
      <c r="B42" s="41">
        <f>(PI()*B41*B43)</f>
        <v>0.17017379085965192</v>
      </c>
      <c r="G42" s="9" t="s">
        <v>53</v>
      </c>
      <c r="H42" s="2" t="s">
        <v>47</v>
      </c>
      <c r="I42">
        <v>111</v>
      </c>
    </row>
    <row r="43" spans="1:9" x14ac:dyDescent="0.25">
      <c r="A43" s="2" t="s">
        <v>40</v>
      </c>
      <c r="B43" s="3">
        <v>2.44</v>
      </c>
      <c r="D43" s="31" t="s">
        <v>165</v>
      </c>
      <c r="E43" s="31" cm="1">
        <f t="array" ref="E43">INDEX(Sheet1!D2:D20,MATCH('heat exchanger '!B40,Sheet1!D2:D20,1)+1)</f>
        <v>28.6</v>
      </c>
      <c r="G43" s="9" t="s">
        <v>54</v>
      </c>
      <c r="H43" s="2" t="s">
        <v>48</v>
      </c>
      <c r="I43">
        <v>385</v>
      </c>
    </row>
    <row r="44" spans="1:9" x14ac:dyDescent="0.25">
      <c r="A44" s="2" t="s">
        <v>42</v>
      </c>
      <c r="B44" s="3">
        <f>(E40-E41)/2</f>
        <v>1.1500000000000004</v>
      </c>
      <c r="D44" s="31" t="s">
        <v>166</v>
      </c>
      <c r="E44" s="31">
        <f>INDEX(Sheet1!F2:F20,MATCH('heat exchanger '!E43,Sheet1!D2:D20,0))</f>
        <v>26</v>
      </c>
      <c r="G44" s="9" t="s">
        <v>50</v>
      </c>
      <c r="H44" s="2" t="s">
        <v>49</v>
      </c>
      <c r="I44">
        <v>21</v>
      </c>
    </row>
    <row r="45" spans="1:9" x14ac:dyDescent="0.25">
      <c r="A45" s="2" t="s">
        <v>41</v>
      </c>
      <c r="B45" s="2">
        <f>(B36/B42)</f>
        <v>305.43758904791918</v>
      </c>
      <c r="C45">
        <f>ROUNDUP(B45,0.1)</f>
        <v>306</v>
      </c>
      <c r="D45" s="31" t="s">
        <v>167</v>
      </c>
      <c r="E45" s="31">
        <f>INDEX(Sheet1!H2:H20,MATCH('heat exchanger '!E43,Sheet1!D2:D20,0))</f>
        <v>1.27</v>
      </c>
      <c r="G45" s="9" t="s">
        <v>59</v>
      </c>
      <c r="H45" s="2" t="s">
        <v>61</v>
      </c>
      <c r="I45">
        <v>9.5</v>
      </c>
    </row>
    <row r="46" spans="1:9" x14ac:dyDescent="0.25">
      <c r="A46" s="2" t="s">
        <v>43</v>
      </c>
      <c r="B46" s="3">
        <f>27/1000</f>
        <v>2.7E-2</v>
      </c>
      <c r="G46" s="9" t="s">
        <v>60</v>
      </c>
      <c r="H46" s="2" t="s">
        <v>62</v>
      </c>
      <c r="I46">
        <v>17</v>
      </c>
    </row>
    <row r="47" spans="1:9" x14ac:dyDescent="0.25">
      <c r="A47" s="2" t="s">
        <v>72</v>
      </c>
      <c r="B47" s="3" t="s">
        <v>75</v>
      </c>
      <c r="C47" s="5" t="s">
        <v>76</v>
      </c>
    </row>
    <row r="48" spans="1:9" x14ac:dyDescent="0.25">
      <c r="A48" s="2" t="s">
        <v>73</v>
      </c>
      <c r="B48" s="3">
        <v>2</v>
      </c>
      <c r="C48" s="5">
        <v>2</v>
      </c>
    </row>
    <row r="49" spans="1:15" x14ac:dyDescent="0.25">
      <c r="A49" s="2" t="s">
        <v>64</v>
      </c>
      <c r="B49" s="4">
        <f>INDEX(K55:O55,MATCH(B48,K54:O54,0))</f>
        <v>0.249</v>
      </c>
      <c r="C49" s="6">
        <f>INDEX(K58:O58,MATCH(C48,K54:O54,0))</f>
        <v>0.156</v>
      </c>
    </row>
    <row r="50" spans="1:15" x14ac:dyDescent="0.25">
      <c r="A50" s="2" t="s">
        <v>65</v>
      </c>
      <c r="B50" s="4">
        <f>INDEX(K56:O56,MATCH(B48,K54:O54,0))</f>
        <v>2.2069999999999999</v>
      </c>
      <c r="C50" s="6">
        <f>INDEX(K59:O59,MATCH(C48,K54:O54,0))</f>
        <v>2.2909999999999999</v>
      </c>
      <c r="M50" t="s">
        <v>74</v>
      </c>
      <c r="N50" t="s">
        <v>75</v>
      </c>
    </row>
    <row r="51" spans="1:15" x14ac:dyDescent="0.25">
      <c r="A51" s="2" t="s">
        <v>137</v>
      </c>
      <c r="B51" s="4">
        <f>(PI()/4)*(E41/1000)^2</f>
        <v>3.1102552668702341E-4</v>
      </c>
      <c r="N51" t="s">
        <v>76</v>
      </c>
    </row>
    <row r="52" spans="1:15" x14ac:dyDescent="0.25">
      <c r="A52" s="2" t="s">
        <v>136</v>
      </c>
      <c r="B52" s="4">
        <f>(C45/2)*B51</f>
        <v>4.7586905583114583E-2</v>
      </c>
    </row>
    <row r="53" spans="1:15" x14ac:dyDescent="0.25">
      <c r="J53" s="2" t="s">
        <v>66</v>
      </c>
      <c r="K53" s="9" t="s">
        <v>71</v>
      </c>
      <c r="L53" s="2"/>
      <c r="M53" s="2"/>
      <c r="N53" s="2"/>
      <c r="O53" s="2"/>
    </row>
    <row r="54" spans="1:15" x14ac:dyDescent="0.25">
      <c r="A54" s="46" t="s">
        <v>63</v>
      </c>
      <c r="B54" s="46"/>
      <c r="C54" s="46"/>
      <c r="D54" s="47"/>
      <c r="E54" s="2" t="s">
        <v>78</v>
      </c>
      <c r="F54" s="2" t="s">
        <v>79</v>
      </c>
      <c r="G54" s="2" t="s">
        <v>84</v>
      </c>
      <c r="H54" s="2" t="s">
        <v>89</v>
      </c>
      <c r="J54" s="2" t="s">
        <v>67</v>
      </c>
      <c r="K54" s="2">
        <v>1</v>
      </c>
      <c r="L54" s="2">
        <v>2</v>
      </c>
      <c r="M54" s="2">
        <v>4</v>
      </c>
      <c r="N54" s="2">
        <v>6</v>
      </c>
      <c r="O54" s="2">
        <v>8</v>
      </c>
    </row>
    <row r="55" spans="1:15" x14ac:dyDescent="0.25">
      <c r="A55" t="s">
        <v>72</v>
      </c>
      <c r="B55" s="6" t="s">
        <v>75</v>
      </c>
      <c r="E55" s="2" t="s">
        <v>80</v>
      </c>
      <c r="F55" s="2">
        <v>10</v>
      </c>
      <c r="G55" s="2">
        <v>0.01</v>
      </c>
      <c r="H55" s="2">
        <f>F55+(G55*$C$58)</f>
        <v>15.574771197715952</v>
      </c>
      <c r="J55" s="2" t="s">
        <v>68</v>
      </c>
      <c r="K55" s="2">
        <v>0.31900000000000001</v>
      </c>
      <c r="L55" s="2">
        <v>0.249</v>
      </c>
      <c r="M55" s="2">
        <v>0.17499999999999999</v>
      </c>
      <c r="N55" s="2">
        <v>7.4300000000000005E-2</v>
      </c>
      <c r="O55" s="2">
        <v>3.6499999999999998E-2</v>
      </c>
    </row>
    <row r="56" spans="1:15" x14ac:dyDescent="0.25">
      <c r="A56" t="s">
        <v>64</v>
      </c>
      <c r="B56" s="6">
        <f>INDEX(B49:C49,MATCH(B55,B47:C47,0))</f>
        <v>0.249</v>
      </c>
      <c r="E56" s="2" t="s">
        <v>81</v>
      </c>
      <c r="F56" s="2">
        <v>15</v>
      </c>
      <c r="G56" s="2">
        <v>1.2E-2</v>
      </c>
      <c r="H56" s="2">
        <f>F56+(G56*$C$58)</f>
        <v>21.689725437259142</v>
      </c>
      <c r="J56" s="2" t="s">
        <v>69</v>
      </c>
      <c r="K56" s="2">
        <v>2.1419999999999999</v>
      </c>
      <c r="L56" s="2">
        <v>2.2069999999999999</v>
      </c>
      <c r="M56" s="2">
        <v>2.2850000000000001</v>
      </c>
      <c r="N56" s="2">
        <v>2.4990000000000001</v>
      </c>
      <c r="O56" s="2">
        <v>2.6749999999999998</v>
      </c>
    </row>
    <row r="57" spans="1:15" x14ac:dyDescent="0.25">
      <c r="A57" t="s">
        <v>65</v>
      </c>
      <c r="B57" s="6">
        <f>INDEX(B50:C50,MATCH(B55,B47:C47,0))</f>
        <v>2.2069999999999999</v>
      </c>
      <c r="E57" s="2" t="s">
        <v>82</v>
      </c>
      <c r="F57" s="2">
        <v>30</v>
      </c>
      <c r="G57" s="2">
        <v>1.4999999999999999E-2</v>
      </c>
      <c r="H57" s="2">
        <f>F57+(G57*$C$58)</f>
        <v>38.362156796573927</v>
      </c>
      <c r="J57" s="2" t="s">
        <v>70</v>
      </c>
      <c r="K57" s="2" t="s">
        <v>71</v>
      </c>
      <c r="L57" s="2"/>
      <c r="M57" s="2"/>
      <c r="N57" s="2"/>
      <c r="O57" s="2"/>
    </row>
    <row r="58" spans="1:15" x14ac:dyDescent="0.25">
      <c r="A58" t="s">
        <v>86</v>
      </c>
      <c r="B58" s="6">
        <f>B41*(C45/B56)^(1/B57)</f>
        <v>0.5574771197715952</v>
      </c>
      <c r="C58">
        <f>B58*1000</f>
        <v>557.4771197715952</v>
      </c>
      <c r="D58" t="s">
        <v>8</v>
      </c>
      <c r="E58" s="2" t="s">
        <v>83</v>
      </c>
      <c r="F58" s="2">
        <v>50</v>
      </c>
      <c r="G58" s="2">
        <v>0.02</v>
      </c>
      <c r="H58" s="2">
        <f>F58+(G58*$C$58)</f>
        <v>61.149542395431908</v>
      </c>
      <c r="J58" s="2" t="s">
        <v>68</v>
      </c>
      <c r="K58" s="2">
        <v>0.215</v>
      </c>
      <c r="L58" s="2">
        <v>0.156</v>
      </c>
      <c r="M58" s="2">
        <v>0.158</v>
      </c>
      <c r="N58" s="2">
        <v>4.02E-2</v>
      </c>
      <c r="O58" s="2">
        <v>3.3099999999999997E-2</v>
      </c>
    </row>
    <row r="59" spans="1:15" x14ac:dyDescent="0.25">
      <c r="A59" t="s">
        <v>87</v>
      </c>
      <c r="B59" s="5" t="s">
        <v>80</v>
      </c>
      <c r="J59" s="2" t="s">
        <v>69</v>
      </c>
      <c r="K59" s="2">
        <v>2.2069999999999999</v>
      </c>
      <c r="L59" s="2">
        <v>2.2909999999999999</v>
      </c>
      <c r="M59" s="2">
        <v>2.2629999999999999</v>
      </c>
      <c r="N59" s="2">
        <v>2.617</v>
      </c>
      <c r="O59" s="2">
        <v>2.6429999999999998</v>
      </c>
    </row>
    <row r="60" spans="1:15" x14ac:dyDescent="0.25">
      <c r="A60" t="s">
        <v>88</v>
      </c>
      <c r="B60" s="6">
        <f>INDEX(H55:H58,MATCH(B59,E55:E58,0))</f>
        <v>15.574771197715952</v>
      </c>
      <c r="C60">
        <f>ROUNDUP(B60,0)</f>
        <v>16</v>
      </c>
    </row>
    <row r="61" spans="1:15" x14ac:dyDescent="0.25">
      <c r="A61" t="s">
        <v>168</v>
      </c>
      <c r="B61" s="6">
        <f>C58+C60</f>
        <v>573.4771197715952</v>
      </c>
    </row>
    <row r="62" spans="1:15" x14ac:dyDescent="0.25">
      <c r="A62" t="s">
        <v>131</v>
      </c>
      <c r="B62" s="6" cm="1">
        <f t="array" ref="B62">INDEX('shell dimension'!$I$5:$I$102,MATCH(MIN(ABS('shell dimension'!$I$5:$I$102-B61)),ABS('shell dimension'!$I$5:$I$102-B61),0))</f>
        <v>575.04</v>
      </c>
      <c r="C62" s="6">
        <f>_xlfn.XLOOKUP(B61, 'shell dimension'!$I$5:$I$102, 'shell dimension'!$I$5:$I$102, "Not Found", 1)</f>
        <v>575.04</v>
      </c>
    </row>
    <row r="63" spans="1:15" x14ac:dyDescent="0.25">
      <c r="A63" t="s">
        <v>132</v>
      </c>
      <c r="B63" s="6" t="str" cm="1">
        <f t="array" ref="B63">INDEX('shell dimension'!$E$5:$E$102,MATCH(MIN(ABS('shell dimension'!$I$5:$I$102-B61)),ABS('shell dimension'!$I$5:$I$102-B61),0))</f>
        <v>40</v>
      </c>
      <c r="C63" s="6" t="str" cm="1">
        <f t="array" ref="C63">INDEX('shell dimension'!$E$5:$E$102,MATCH(MIN(ABS('shell dimension'!$I$5:$I$102-C62)),ABS('shell dimension'!$I$5:$I$102-C62),0))</f>
        <v>40</v>
      </c>
    </row>
    <row r="64" spans="1:15" x14ac:dyDescent="0.25">
      <c r="A64" t="s">
        <v>133</v>
      </c>
      <c r="B64" s="6" cm="1">
        <f t="array" ref="B64">INDEX('shell dimension'!$F$5:$F$102,MATCH(MIN(ABS('shell dimension'!$I$5:$I$102-B61)),ABS('shell dimension'!$I$5:$I$102-B61),0))</f>
        <v>0.68799999999999994</v>
      </c>
      <c r="C64" s="6" cm="1">
        <f t="array" ref="C64">INDEX('shell dimension'!$F$5:$F$102,MATCH(MIN(ABS('shell dimension'!$I$5:$I$102-C62)),ABS('shell dimension'!$I$5:$I$102-C62),0))</f>
        <v>0.68799999999999994</v>
      </c>
    </row>
    <row r="65" spans="1:4" x14ac:dyDescent="0.25">
      <c r="A65" t="s">
        <v>134</v>
      </c>
      <c r="B65" s="6" cm="1">
        <f t="array" ref="B65">INDEX('shell dimension'!$G$5:$G$102,MATCH(MIN(ABS('shell dimension'!$I$5:$I$102-B61)),ABS('shell dimension'!$I$5:$I$102-B61),0))</f>
        <v>17.48</v>
      </c>
      <c r="C65" s="6" cm="1">
        <f t="array" ref="C65">INDEX('shell dimension'!$G$5:$G$102,MATCH(MIN(ABS('shell dimension'!$I$5:$I$102-C62)),ABS('shell dimension'!$I$5:$I$102-C62),0))</f>
        <v>17.48</v>
      </c>
    </row>
    <row r="66" spans="1:4" x14ac:dyDescent="0.25">
      <c r="A66" t="s">
        <v>135</v>
      </c>
      <c r="B66" s="6" cm="1">
        <f t="array" ref="B66">LOOKUP(2,1/('shell dimension'!$D$5:INDEX('shell dimension'!$D$5:$D$102,MATCH(MIN(ABS('shell dimension'!$I$5:$I$102-B62)),ABS('shell dimension'!$I$5:$I$102-B62),0))&lt;&gt;""),'shell dimension'!$D$5:INDEX('shell dimension'!$D$5:$D$102,MATCH(MIN(ABS('shell dimension'!$I$5:$I$102-B62)),ABS('shell dimension'!$I$5:$I$102-B62),0)))</f>
        <v>610</v>
      </c>
      <c r="C66" s="6" cm="1">
        <f t="array" ref="C66">LOOKUP(2,1/('shell dimension'!$D$5:INDEX('shell dimension'!$D$5:$D$102,MATCH(MIN(ABS('shell dimension'!$I$5:$I$102-C62)),ABS('shell dimension'!$I$5:$I$102-C62),0))&lt;&gt;""),'shell dimension'!$D$5:INDEX('shell dimension'!$D$5:$D$102,MATCH(MIN(ABS('shell dimension'!$I$5:$I$102-C62)),ABS('shell dimension'!$I$5:$I$102-C62),0)))</f>
        <v>610</v>
      </c>
    </row>
    <row r="67" spans="1:4" x14ac:dyDescent="0.25">
      <c r="A67" t="s">
        <v>138</v>
      </c>
      <c r="B67" s="6" cm="1">
        <f t="array" ref="B67">LOOKUP(2,1/('shell dimension'!$D$5:INDEX('shell dimension'!$A$5:$A$102,MATCH(MIN(ABS('shell dimension'!$I$5:$I$102-B62)),ABS('shell dimension'!$I$5:$I$102-B62),0))&lt;&gt;""),'shell dimension'!$A$5:INDEX('shell dimension'!$A$5:$A$102,MATCH(MIN(ABS('shell dimension'!$I$5:$I$102-B62)),ABS('shell dimension'!$I$5:$I$102-B62),0)))</f>
        <v>24</v>
      </c>
      <c r="C67" s="6" cm="1">
        <f t="array" ref="C67">LOOKUP(2,1/('shell dimension'!$D$5:INDEX('shell dimension'!$A$5:$A$102,MATCH(MIN(ABS('shell dimension'!$I$5:$I$102-C62)),ABS('shell dimension'!$I$5:$I$102-C62),0))&lt;&gt;""),'shell dimension'!$A$5:INDEX('shell dimension'!$A$5:$A$102,MATCH(MIN(ABS('shell dimension'!$I$5:$I$102-C62)),ABS('shell dimension'!$I$5:$I$102-C62),0)))</f>
        <v>24</v>
      </c>
    </row>
    <row r="70" spans="1:4" x14ac:dyDescent="0.25">
      <c r="A70" s="46" t="s">
        <v>139</v>
      </c>
      <c r="B70" s="46"/>
      <c r="C70" s="46"/>
      <c r="D70" s="46"/>
    </row>
    <row r="71" spans="1:4" x14ac:dyDescent="0.25">
      <c r="A71" t="s">
        <v>91</v>
      </c>
      <c r="B71" s="6">
        <f>C45/2</f>
        <v>153</v>
      </c>
    </row>
    <row r="72" spans="1:4" x14ac:dyDescent="0.25">
      <c r="A72" t="s">
        <v>140</v>
      </c>
      <c r="B72" s="6">
        <f>B52</f>
        <v>4.7586905583114583E-2</v>
      </c>
    </row>
    <row r="73" spans="1:4" x14ac:dyDescent="0.25">
      <c r="A73" t="s">
        <v>141</v>
      </c>
      <c r="B73" s="6">
        <f>(B19/(M10*B72))</f>
        <v>0.19589664059582543</v>
      </c>
      <c r="C73" t="s">
        <v>146</v>
      </c>
    </row>
    <row r="74" spans="1:4" x14ac:dyDescent="0.25">
      <c r="A74" s="48" t="s">
        <v>149</v>
      </c>
      <c r="B74" s="48"/>
    </row>
    <row r="75" spans="1:4" x14ac:dyDescent="0.25">
      <c r="A75" t="s">
        <v>147</v>
      </c>
      <c r="B75" s="42">
        <f>((M10*B73*(E41/1000))/M13)</f>
        <v>17369.251019260315</v>
      </c>
    </row>
    <row r="76" spans="1:4" x14ac:dyDescent="0.25">
      <c r="A76" t="s">
        <v>150</v>
      </c>
      <c r="B76" s="6">
        <f>(M13*M9*1000)/(M12)</f>
        <v>1.3198795171335009</v>
      </c>
    </row>
    <row r="77" spans="1:4" x14ac:dyDescent="0.25">
      <c r="A77" t="s">
        <v>151</v>
      </c>
      <c r="B77" s="6">
        <f>0.027*(B75)^0.8*(B76)^0.33</f>
        <v>72.939864616285519</v>
      </c>
    </row>
    <row r="78" spans="1:4" x14ac:dyDescent="0.25">
      <c r="A78" t="s">
        <v>152</v>
      </c>
      <c r="B78" s="6">
        <f>(B77*M12)/(E41/1000)</f>
        <v>2507.2253764886409</v>
      </c>
    </row>
    <row r="80" spans="1:4" x14ac:dyDescent="0.25">
      <c r="A80" s="46" t="s">
        <v>153</v>
      </c>
      <c r="B80" s="46"/>
      <c r="C80" s="46"/>
      <c r="D80" s="46"/>
    </row>
    <row r="81" spans="1:5" x14ac:dyDescent="0.25">
      <c r="A81" s="50" t="s">
        <v>169</v>
      </c>
      <c r="B81" s="50"/>
      <c r="C81" s="50"/>
    </row>
    <row r="82" spans="1:5" x14ac:dyDescent="0.25">
      <c r="A82" t="s">
        <v>170</v>
      </c>
      <c r="B82" s="44">
        <v>40</v>
      </c>
      <c r="C82" s="6">
        <f>B82/100*C62/1000</f>
        <v>0.230016</v>
      </c>
    </row>
    <row r="83" spans="1:5" x14ac:dyDescent="0.25">
      <c r="A83" t="s">
        <v>171</v>
      </c>
      <c r="B83" s="6">
        <f>0.5*C62/1000</f>
        <v>0.28752</v>
      </c>
      <c r="C83" s="43">
        <f>ROUNDUP(B83,1)</f>
        <v>0.30000000000000004</v>
      </c>
      <c r="D83" s="6">
        <f>C83</f>
        <v>0.30000000000000004</v>
      </c>
    </row>
    <row r="84" spans="1:5" x14ac:dyDescent="0.25">
      <c r="A84" t="s">
        <v>172</v>
      </c>
      <c r="B84" s="6">
        <f>((B46-B41)*(C62/1000)*C83)/B46</f>
        <v>3.06688E-2</v>
      </c>
      <c r="C84" s="6">
        <f>B84</f>
        <v>3.06688E-2</v>
      </c>
    </row>
    <row r="85" spans="1:5" x14ac:dyDescent="0.25">
      <c r="A85" t="s">
        <v>173</v>
      </c>
      <c r="B85" s="6">
        <f>B18/B84</f>
        <v>221.27805217987134</v>
      </c>
      <c r="C85" s="6"/>
    </row>
    <row r="86" spans="1:5" x14ac:dyDescent="0.25">
      <c r="A86" t="s">
        <v>174</v>
      </c>
      <c r="B86" s="6">
        <f>B18/(J10*B84)</f>
        <v>0.22391297045094993</v>
      </c>
      <c r="C86" s="6" t="s">
        <v>146</v>
      </c>
    </row>
    <row r="87" spans="1:5" x14ac:dyDescent="0.25">
      <c r="A87" s="48" t="s">
        <v>175</v>
      </c>
      <c r="B87" s="48"/>
      <c r="C87" s="48"/>
      <c r="D87" s="48"/>
    </row>
    <row r="88" spans="1:5" x14ac:dyDescent="0.25">
      <c r="B88" s="50" t="s">
        <v>176</v>
      </c>
      <c r="C88" s="50"/>
    </row>
    <row r="89" spans="1:5" x14ac:dyDescent="0.25">
      <c r="A89" t="s">
        <v>177</v>
      </c>
      <c r="B89" s="45" t="s">
        <v>75</v>
      </c>
      <c r="C89" s="45"/>
      <c r="D89" t="s">
        <v>183</v>
      </c>
      <c r="E89">
        <f>0.36*B92^(-0.55)</f>
        <v>1.5205659116610628E-3</v>
      </c>
    </row>
    <row r="90" spans="1:5" x14ac:dyDescent="0.25">
      <c r="A90" t="s">
        <v>303</v>
      </c>
      <c r="B90" s="6">
        <f>(1.1*(B46^2-0.917*B41^2))/B41</f>
        <v>1.3728481621621616E-2</v>
      </c>
      <c r="D90" t="s">
        <v>182</v>
      </c>
      <c r="E90">
        <f>B18/C84</f>
        <v>221.27805217987134</v>
      </c>
    </row>
    <row r="91" spans="1:5" x14ac:dyDescent="0.25">
      <c r="A91" t="s">
        <v>304</v>
      </c>
      <c r="B91" s="6">
        <f>B90*1000</f>
        <v>13.728481621621617</v>
      </c>
    </row>
    <row r="92" spans="1:5" x14ac:dyDescent="0.25">
      <c r="A92" t="s">
        <v>178</v>
      </c>
      <c r="B92" s="6">
        <f>(J10*B86*B90)/J13</f>
        <v>20744.553517980814</v>
      </c>
    </row>
    <row r="93" spans="1:5" x14ac:dyDescent="0.25">
      <c r="A93" t="s">
        <v>179</v>
      </c>
      <c r="B93" s="6">
        <f>(J13*J9*1000)/J12</f>
        <v>0.96683727425473442</v>
      </c>
    </row>
    <row r="94" spans="1:5" x14ac:dyDescent="0.25">
      <c r="A94" t="s">
        <v>180</v>
      </c>
      <c r="B94" s="6">
        <f>0.36*(B92^0.45)*(B93^(1/3))</f>
        <v>31.190844767624046</v>
      </c>
    </row>
    <row r="95" spans="1:5" x14ac:dyDescent="0.25">
      <c r="A95" t="s">
        <v>181</v>
      </c>
      <c r="B95" s="6">
        <f>(B94*J12)/B90</f>
        <v>1521.2273722768412</v>
      </c>
      <c r="C95">
        <f>E89*E90*J9*(B93^(2/3))*1000</f>
        <v>1454.3378657042078</v>
      </c>
    </row>
    <row r="97" spans="1:7" x14ac:dyDescent="0.25">
      <c r="A97" s="46" t="s">
        <v>184</v>
      </c>
      <c r="B97" s="46"/>
      <c r="C97" s="46"/>
      <c r="D97" s="46"/>
    </row>
    <row r="98" spans="1:7" x14ac:dyDescent="0.25">
      <c r="A98" t="s">
        <v>185</v>
      </c>
      <c r="E98" t="s">
        <v>188</v>
      </c>
      <c r="F98">
        <f>1/B95</f>
        <v>6.5736392746028934E-4</v>
      </c>
      <c r="G98" t="s">
        <v>193</v>
      </c>
    </row>
    <row r="99" spans="1:7" x14ac:dyDescent="0.25">
      <c r="A99" t="s">
        <v>186</v>
      </c>
      <c r="B99">
        <v>2.9999999999999997E-4</v>
      </c>
      <c r="E99" t="s">
        <v>189</v>
      </c>
      <c r="F99">
        <f>B100</f>
        <v>2.9999999999999997E-4</v>
      </c>
      <c r="G99" t="s">
        <v>194</v>
      </c>
    </row>
    <row r="100" spans="1:7" x14ac:dyDescent="0.25">
      <c r="A100" t="s">
        <v>187</v>
      </c>
      <c r="B100">
        <v>2.9999999999999997E-4</v>
      </c>
      <c r="E100" t="s">
        <v>190</v>
      </c>
      <c r="F100">
        <f>((B41*LN(E40/E41))/(2*I43))</f>
        <v>3.1533386606245085E-6</v>
      </c>
      <c r="G100" t="s">
        <v>195</v>
      </c>
    </row>
    <row r="101" spans="1:7" x14ac:dyDescent="0.25">
      <c r="A101" t="s">
        <v>198</v>
      </c>
      <c r="B101">
        <f>1/(F98+F99+F100+F101+F102)</f>
        <v>574.66778322599839</v>
      </c>
      <c r="E101" t="s">
        <v>191</v>
      </c>
      <c r="F101">
        <f>(E40/E41)*(B99)</f>
        <v>3.346733668341708E-4</v>
      </c>
      <c r="G101" t="s">
        <v>196</v>
      </c>
    </row>
    <row r="102" spans="1:7" x14ac:dyDescent="0.25">
      <c r="E102" t="s">
        <v>192</v>
      </c>
      <c r="F102">
        <f>(E40/E41)*(1/B78)</f>
        <v>4.4494519715239898E-4</v>
      </c>
      <c r="G102" t="s">
        <v>197</v>
      </c>
    </row>
    <row r="103" spans="1:7" x14ac:dyDescent="0.25">
      <c r="A103" t="s">
        <v>199</v>
      </c>
      <c r="B103">
        <f>(ABS(B101-F16)/F16)*100</f>
        <v>4.2220361290002684</v>
      </c>
    </row>
    <row r="105" spans="1:7" x14ac:dyDescent="0.25">
      <c r="A105" s="46" t="s">
        <v>200</v>
      </c>
      <c r="B105" s="46"/>
      <c r="C105" s="46"/>
      <c r="D105" s="46"/>
    </row>
    <row r="106" spans="1:7" x14ac:dyDescent="0.25">
      <c r="A106" s="49" t="s">
        <v>201</v>
      </c>
      <c r="B106" s="49"/>
    </row>
    <row r="107" spans="1:7" x14ac:dyDescent="0.25">
      <c r="A107" t="s">
        <v>202</v>
      </c>
      <c r="B107" s="6">
        <f>0.0014+(0.125/B75^0.32)</f>
        <v>6.8976876732635382E-3</v>
      </c>
    </row>
    <row r="108" spans="1:7" x14ac:dyDescent="0.25">
      <c r="B108" s="6">
        <f>((8*B107*(B43/(E41/1000))*1)+2.5)</f>
        <v>9.2659730342765965</v>
      </c>
    </row>
    <row r="109" spans="1:7" x14ac:dyDescent="0.25">
      <c r="A109" t="s">
        <v>200</v>
      </c>
      <c r="B109" s="6">
        <f>2*B108*(M10*(B73^2)/2)</f>
        <v>338.50349858888984</v>
      </c>
      <c r="C109" t="s">
        <v>203</v>
      </c>
    </row>
    <row r="110" spans="1:7" x14ac:dyDescent="0.25">
      <c r="A110" s="49" t="s">
        <v>204</v>
      </c>
      <c r="B110" s="49"/>
    </row>
    <row r="111" spans="1:7" x14ac:dyDescent="0.25">
      <c r="B111" t="s">
        <v>205</v>
      </c>
    </row>
    <row r="112" spans="1:7" x14ac:dyDescent="0.25">
      <c r="A112" t="s">
        <v>206</v>
      </c>
      <c r="B112" s="6">
        <f>0.0014+0.125*(B92)^(-0.32)</f>
        <v>6.5939851494186286E-3</v>
      </c>
    </row>
    <row r="113" spans="1:4" x14ac:dyDescent="0.25">
      <c r="A113" t="s">
        <v>200</v>
      </c>
      <c r="B113" s="6">
        <f>8*B112*(C62/B91)*(B43/D83)*(M10*(B86^2)/2)</f>
        <v>428.87302596182496</v>
      </c>
      <c r="C113" t="s">
        <v>203</v>
      </c>
    </row>
    <row r="114" spans="1:4" x14ac:dyDescent="0.25">
      <c r="A114" t="s">
        <v>200</v>
      </c>
      <c r="B114" s="6">
        <f>B113/1000</f>
        <v>0.42887302596182497</v>
      </c>
      <c r="C114" t="s">
        <v>207</v>
      </c>
    </row>
    <row r="116" spans="1:4" x14ac:dyDescent="0.25">
      <c r="A116" s="46" t="s">
        <v>208</v>
      </c>
      <c r="B116" s="46"/>
      <c r="C116" s="46"/>
      <c r="D116" s="46"/>
    </row>
    <row r="117" spans="1:4" x14ac:dyDescent="0.25">
      <c r="A117" t="s">
        <v>210</v>
      </c>
      <c r="B117">
        <v>2</v>
      </c>
    </row>
    <row r="118" spans="1:4" x14ac:dyDescent="0.25">
      <c r="A118" t="s">
        <v>211</v>
      </c>
      <c r="B118">
        <v>2.2000000000000002</v>
      </c>
    </row>
    <row r="119" spans="1:4" x14ac:dyDescent="0.25">
      <c r="A119" t="s">
        <v>209</v>
      </c>
      <c r="B119">
        <f>C62</f>
        <v>575.04</v>
      </c>
    </row>
    <row r="120" spans="1:4" x14ac:dyDescent="0.25">
      <c r="A120" t="s">
        <v>212</v>
      </c>
      <c r="B120" t="s">
        <v>213</v>
      </c>
    </row>
    <row r="121" spans="1:4" x14ac:dyDescent="0.25">
      <c r="A121" t="s">
        <v>214</v>
      </c>
      <c r="B121">
        <v>75</v>
      </c>
      <c r="C121">
        <f>B121*1000000</f>
        <v>75000000</v>
      </c>
      <c r="D121" t="s">
        <v>215</v>
      </c>
    </row>
    <row r="122" spans="1:4" x14ac:dyDescent="0.25">
      <c r="A122" t="s">
        <v>216</v>
      </c>
      <c r="B122">
        <v>1</v>
      </c>
    </row>
    <row r="123" spans="1:4" x14ac:dyDescent="0.25">
      <c r="A123" t="s">
        <v>217</v>
      </c>
      <c r="B123">
        <f>B122*(C62/2)*((B118/B121)^(1/2))</f>
        <v>49.243483613570639</v>
      </c>
      <c r="C123" t="s">
        <v>8</v>
      </c>
    </row>
    <row r="124" spans="1:4" x14ac:dyDescent="0.25">
      <c r="A124" t="s">
        <v>277</v>
      </c>
      <c r="B124">
        <v>62</v>
      </c>
      <c r="C124" t="s">
        <v>8</v>
      </c>
    </row>
    <row r="125" spans="1:4" x14ac:dyDescent="0.25">
      <c r="A125" s="45" t="s">
        <v>276</v>
      </c>
      <c r="B125" s="45"/>
    </row>
    <row r="127" spans="1:4" x14ac:dyDescent="0.25">
      <c r="A127" s="46" t="s">
        <v>278</v>
      </c>
      <c r="B127" s="46"/>
      <c r="C127" s="46"/>
      <c r="D127" s="46"/>
    </row>
    <row r="128" spans="1:4" x14ac:dyDescent="0.25">
      <c r="A128" t="s">
        <v>279</v>
      </c>
      <c r="B128" t="s">
        <v>280</v>
      </c>
    </row>
    <row r="129" spans="1:3" x14ac:dyDescent="0.25">
      <c r="A129" t="s">
        <v>281</v>
      </c>
      <c r="B129">
        <f>B118</f>
        <v>2.2000000000000002</v>
      </c>
    </row>
    <row r="130" spans="1:3" x14ac:dyDescent="0.25">
      <c r="A130" t="s">
        <v>282</v>
      </c>
      <c r="B130">
        <f>B119</f>
        <v>575.04</v>
      </c>
    </row>
    <row r="131" spans="1:3" x14ac:dyDescent="0.25">
      <c r="A131" t="s">
        <v>283</v>
      </c>
      <c r="B131">
        <v>138</v>
      </c>
    </row>
    <row r="132" spans="1:3" x14ac:dyDescent="0.25">
      <c r="A132" t="s">
        <v>284</v>
      </c>
      <c r="B132">
        <v>0.85</v>
      </c>
    </row>
    <row r="133" spans="1:3" x14ac:dyDescent="0.25">
      <c r="A133" t="s">
        <v>285</v>
      </c>
      <c r="B133">
        <f>(B129*B130)/(2*B131*B132-0.2*B129)</f>
        <v>5.4026648445507348</v>
      </c>
    </row>
    <row r="134" spans="1:3" x14ac:dyDescent="0.25">
      <c r="A134" t="s">
        <v>286</v>
      </c>
      <c r="B134">
        <v>1.5</v>
      </c>
    </row>
    <row r="135" spans="1:3" x14ac:dyDescent="0.25">
      <c r="A135" t="s">
        <v>287</v>
      </c>
      <c r="B135">
        <f>B133+B134</f>
        <v>6.9026648445507348</v>
      </c>
      <c r="C135">
        <f>ROUND(B135,0)</f>
        <v>7</v>
      </c>
    </row>
    <row r="136" spans="1:3" x14ac:dyDescent="0.25">
      <c r="A136" s="40" t="s">
        <v>291</v>
      </c>
      <c r="B136">
        <f>(B130*1.15)+2*B140</f>
        <v>861.29599999999994</v>
      </c>
      <c r="C136" t="s">
        <v>295</v>
      </c>
    </row>
    <row r="137" spans="1:3" x14ac:dyDescent="0.25">
      <c r="A137" t="s">
        <v>288</v>
      </c>
      <c r="B137">
        <f>0.9*B130</f>
        <v>517.53599999999994</v>
      </c>
      <c r="C137" t="s">
        <v>292</v>
      </c>
    </row>
    <row r="138" spans="1:3" x14ac:dyDescent="0.25">
      <c r="A138" t="s">
        <v>289</v>
      </c>
      <c r="B138">
        <f>0.17*B130</f>
        <v>97.756799999999998</v>
      </c>
      <c r="C138" t="s">
        <v>293</v>
      </c>
    </row>
    <row r="139" spans="1:3" x14ac:dyDescent="0.25">
      <c r="A139" t="s">
        <v>290</v>
      </c>
      <c r="B139">
        <f>(0.25*B130)+B140+C135</f>
        <v>250.76</v>
      </c>
      <c r="C139" t="s">
        <v>294</v>
      </c>
    </row>
    <row r="140" spans="1:3" x14ac:dyDescent="0.25">
      <c r="A140" t="s">
        <v>296</v>
      </c>
      <c r="B140">
        <v>100</v>
      </c>
    </row>
  </sheetData>
  <mergeCells count="39">
    <mergeCell ref="G38:H38"/>
    <mergeCell ref="A54:D54"/>
    <mergeCell ref="A39:D39"/>
    <mergeCell ref="A34:D34"/>
    <mergeCell ref="A38:D38"/>
    <mergeCell ref="A1:O4"/>
    <mergeCell ref="A5:O6"/>
    <mergeCell ref="J8:L8"/>
    <mergeCell ref="M8:O8"/>
    <mergeCell ref="J9:L9"/>
    <mergeCell ref="B7:C7"/>
    <mergeCell ref="J7:L7"/>
    <mergeCell ref="M7:O7"/>
    <mergeCell ref="J10:L10"/>
    <mergeCell ref="J11:L11"/>
    <mergeCell ref="M9:O9"/>
    <mergeCell ref="M10:O10"/>
    <mergeCell ref="M11:O11"/>
    <mergeCell ref="J12:L12"/>
    <mergeCell ref="J13:L13"/>
    <mergeCell ref="M12:O12"/>
    <mergeCell ref="M13:O13"/>
    <mergeCell ref="A16:D16"/>
    <mergeCell ref="A125:B125"/>
    <mergeCell ref="A127:D127"/>
    <mergeCell ref="A21:D21"/>
    <mergeCell ref="A26:D26"/>
    <mergeCell ref="A70:D70"/>
    <mergeCell ref="A74:B74"/>
    <mergeCell ref="A80:D80"/>
    <mergeCell ref="A110:B110"/>
    <mergeCell ref="A116:D116"/>
    <mergeCell ref="A87:D87"/>
    <mergeCell ref="B88:C88"/>
    <mergeCell ref="A97:D97"/>
    <mergeCell ref="A105:D105"/>
    <mergeCell ref="A106:B106"/>
    <mergeCell ref="A81:C81"/>
    <mergeCell ref="B89:C89"/>
  </mergeCells>
  <phoneticPr fontId="4" type="noConversion"/>
  <dataValidations disablePrompts="1" count="5">
    <dataValidation type="list" allowBlank="1" showInputMessage="1" showErrorMessage="1" sqref="B47" xr:uid="{0B77862B-3255-48B4-B7AB-2AD7BC131A99}">
      <formula1>$N$50</formula1>
    </dataValidation>
    <dataValidation type="list" allowBlank="1" showInputMessage="1" showErrorMessage="1" sqref="C47" xr:uid="{FFA40BBF-1BED-4D1B-B7E7-B46ACF2B93D6}">
      <formula1>$N$51</formula1>
    </dataValidation>
    <dataValidation type="list" allowBlank="1" showInputMessage="1" showErrorMessage="1" sqref="B48:C48" xr:uid="{82F8A7A4-91A7-4B08-A82B-9248C5F5041A}">
      <formula1>$K$54:$O$54</formula1>
    </dataValidation>
    <dataValidation type="list" allowBlank="1" showInputMessage="1" showErrorMessage="1" sqref="B55" xr:uid="{00D0B4A0-A198-418A-BAFD-4611614F97C7}">
      <formula1>$B$47:$C$47</formula1>
    </dataValidation>
    <dataValidation type="list" allowBlank="1" showInputMessage="1" showErrorMessage="1" sqref="B59" xr:uid="{E6B2F5E8-DE9A-4C9B-BDD5-49CA8C5E3CCE}">
      <formula1>$E$55:$E$58</formula1>
    </dataValidation>
  </dataValidations>
  <pageMargins left="0.25" right="0.25" top="0.75" bottom="0.75" header="0.3" footer="0.3"/>
  <pageSetup paperSize="66" scale="49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462A4-8EDC-426A-8894-FFBC7F27459B}">
  <dimension ref="A1:K102"/>
  <sheetViews>
    <sheetView zoomScale="74" workbookViewId="0">
      <pane ySplit="4" topLeftCell="A45" activePane="bottomLeft" state="frozen"/>
      <selection pane="bottomLeft" activeCell="C76" sqref="C76:C86"/>
    </sheetView>
  </sheetViews>
  <sheetFormatPr defaultRowHeight="15" x14ac:dyDescent="0.25"/>
  <cols>
    <col min="1" max="1" width="14" customWidth="1"/>
    <col min="2" max="2" width="10" customWidth="1"/>
    <col min="3" max="3" width="12" customWidth="1"/>
    <col min="4" max="4" width="10" customWidth="1"/>
    <col min="5" max="5" width="32.140625" bestFit="1" customWidth="1"/>
    <col min="6" max="6" width="18" customWidth="1"/>
    <col min="7" max="11" width="12" customWidth="1"/>
  </cols>
  <sheetData>
    <row r="1" spans="1:11" ht="39.950000000000003" customHeight="1" x14ac:dyDescent="0.25">
      <c r="A1" s="74" t="s">
        <v>92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3" spans="1:11" ht="24.95" customHeight="1" x14ac:dyDescent="0.25">
      <c r="A3" s="76" t="s">
        <v>93</v>
      </c>
      <c r="B3" s="75"/>
      <c r="C3" s="76" t="s">
        <v>94</v>
      </c>
      <c r="D3" s="75"/>
      <c r="E3" s="11" t="s">
        <v>95</v>
      </c>
      <c r="F3" s="76" t="s">
        <v>96</v>
      </c>
      <c r="G3" s="75"/>
      <c r="H3" s="76" t="s">
        <v>97</v>
      </c>
      <c r="I3" s="75"/>
      <c r="J3" s="76" t="s">
        <v>98</v>
      </c>
      <c r="K3" s="75"/>
    </row>
    <row r="4" spans="1:11" ht="20.100000000000001" customHeight="1" x14ac:dyDescent="0.25">
      <c r="A4" s="12" t="s">
        <v>99</v>
      </c>
      <c r="B4" s="12" t="s">
        <v>100</v>
      </c>
      <c r="C4" s="12" t="s">
        <v>99</v>
      </c>
      <c r="D4" s="12" t="s">
        <v>100</v>
      </c>
      <c r="E4" s="12" t="s">
        <v>101</v>
      </c>
      <c r="F4" s="12" t="s">
        <v>99</v>
      </c>
      <c r="G4" s="12" t="s">
        <v>100</v>
      </c>
      <c r="H4" s="12" t="s">
        <v>99</v>
      </c>
      <c r="I4" s="12" t="s">
        <v>100</v>
      </c>
      <c r="J4" s="12" t="s">
        <v>102</v>
      </c>
      <c r="K4" s="12" t="s">
        <v>103</v>
      </c>
    </row>
    <row r="5" spans="1:11" ht="18.95" customHeight="1" x14ac:dyDescent="0.25">
      <c r="A5" s="71">
        <v>12</v>
      </c>
      <c r="B5" s="73">
        <v>300</v>
      </c>
      <c r="C5" s="71">
        <v>12.75</v>
      </c>
      <c r="D5" s="73">
        <v>323.8</v>
      </c>
      <c r="E5" s="13" t="s">
        <v>104</v>
      </c>
      <c r="F5" s="14">
        <v>0.156</v>
      </c>
      <c r="G5" s="15">
        <v>3.96</v>
      </c>
      <c r="H5" s="14">
        <v>12.438000000000001</v>
      </c>
      <c r="I5" s="15">
        <v>315.88</v>
      </c>
      <c r="J5" s="16">
        <v>21</v>
      </c>
      <c r="K5" s="15">
        <v>31.24</v>
      </c>
    </row>
    <row r="6" spans="1:11" ht="18.95" customHeight="1" x14ac:dyDescent="0.25">
      <c r="A6" s="72"/>
      <c r="B6" s="72"/>
      <c r="C6" s="72"/>
      <c r="D6" s="72"/>
      <c r="E6" s="17" t="s">
        <v>105</v>
      </c>
      <c r="F6" s="18">
        <v>0.18</v>
      </c>
      <c r="G6" s="19">
        <v>4.57</v>
      </c>
      <c r="H6" s="18">
        <v>12.39</v>
      </c>
      <c r="I6" s="19">
        <v>314.66000000000003</v>
      </c>
      <c r="J6" s="20">
        <v>24.19</v>
      </c>
      <c r="K6" s="19">
        <v>35.979999999999997</v>
      </c>
    </row>
    <row r="7" spans="1:11" ht="18.95" customHeight="1" x14ac:dyDescent="0.25">
      <c r="A7" s="72"/>
      <c r="B7" s="72"/>
      <c r="C7" s="72"/>
      <c r="D7" s="72"/>
      <c r="E7" s="13" t="s">
        <v>106</v>
      </c>
      <c r="F7" s="14">
        <v>0.188</v>
      </c>
      <c r="G7" s="15">
        <v>4.78</v>
      </c>
      <c r="H7" s="14">
        <v>12.374000000000001</v>
      </c>
      <c r="I7" s="15">
        <v>314.24</v>
      </c>
      <c r="J7" s="16">
        <v>25.25</v>
      </c>
      <c r="K7" s="15">
        <v>37.61</v>
      </c>
    </row>
    <row r="8" spans="1:11" ht="18.95" customHeight="1" x14ac:dyDescent="0.25">
      <c r="A8" s="72"/>
      <c r="B8" s="72"/>
      <c r="C8" s="72"/>
      <c r="D8" s="72"/>
      <c r="E8" s="17" t="s">
        <v>107</v>
      </c>
      <c r="F8" s="18">
        <v>0.25</v>
      </c>
      <c r="G8" s="19">
        <v>6.35</v>
      </c>
      <c r="H8" s="18">
        <v>12.25</v>
      </c>
      <c r="I8" s="19">
        <v>311.10000000000002</v>
      </c>
      <c r="J8" s="20">
        <v>33.409999999999997</v>
      </c>
      <c r="K8" s="19">
        <v>49.71</v>
      </c>
    </row>
    <row r="9" spans="1:11" ht="18.95" customHeight="1" x14ac:dyDescent="0.25">
      <c r="A9" s="72"/>
      <c r="B9" s="72"/>
      <c r="C9" s="72"/>
      <c r="D9" s="72"/>
      <c r="E9" s="13" t="s">
        <v>108</v>
      </c>
      <c r="F9" s="14">
        <v>0.33</v>
      </c>
      <c r="G9" s="15">
        <v>8.3800000000000008</v>
      </c>
      <c r="H9" s="14">
        <v>12.09</v>
      </c>
      <c r="I9" s="15">
        <v>307.04000000000002</v>
      </c>
      <c r="J9" s="16">
        <v>43.81</v>
      </c>
      <c r="K9" s="15">
        <v>65.19</v>
      </c>
    </row>
    <row r="10" spans="1:11" ht="18.95" customHeight="1" x14ac:dyDescent="0.25">
      <c r="A10" s="72"/>
      <c r="B10" s="72"/>
      <c r="C10" s="72"/>
      <c r="D10" s="72"/>
      <c r="E10" s="17" t="s">
        <v>109</v>
      </c>
      <c r="F10" s="18">
        <v>0.375</v>
      </c>
      <c r="G10" s="19">
        <v>9.5299999999999994</v>
      </c>
      <c r="H10" s="18">
        <v>12</v>
      </c>
      <c r="I10" s="19">
        <v>304.74</v>
      </c>
      <c r="J10" s="20">
        <v>49.61</v>
      </c>
      <c r="K10" s="19">
        <v>73.86</v>
      </c>
    </row>
    <row r="11" spans="1:11" ht="18.95" customHeight="1" x14ac:dyDescent="0.25">
      <c r="A11" s="72"/>
      <c r="B11" s="72"/>
      <c r="C11" s="72"/>
      <c r="D11" s="72"/>
      <c r="E11" s="13" t="s">
        <v>110</v>
      </c>
      <c r="F11" s="14">
        <v>0.40600000000000003</v>
      </c>
      <c r="G11" s="15">
        <v>10.31</v>
      </c>
      <c r="H11" s="14">
        <v>11.938000000000001</v>
      </c>
      <c r="I11" s="15">
        <v>303.18</v>
      </c>
      <c r="J11" s="16">
        <v>53.57</v>
      </c>
      <c r="K11" s="15">
        <v>79.709999999999994</v>
      </c>
    </row>
    <row r="12" spans="1:11" ht="18.95" customHeight="1" x14ac:dyDescent="0.25">
      <c r="A12" s="72"/>
      <c r="B12" s="72"/>
      <c r="C12" s="72"/>
      <c r="D12" s="72"/>
      <c r="E12" s="17" t="s">
        <v>111</v>
      </c>
      <c r="F12" s="18">
        <v>0.5</v>
      </c>
      <c r="G12" s="19">
        <v>12.7</v>
      </c>
      <c r="H12" s="18">
        <v>11.75</v>
      </c>
      <c r="I12" s="19">
        <v>298.39999999999998</v>
      </c>
      <c r="J12" s="20">
        <v>65.48</v>
      </c>
      <c r="K12" s="19">
        <v>97.44</v>
      </c>
    </row>
    <row r="13" spans="1:11" ht="18.95" customHeight="1" x14ac:dyDescent="0.25">
      <c r="A13" s="72"/>
      <c r="B13" s="72"/>
      <c r="C13" s="72"/>
      <c r="D13" s="72"/>
      <c r="E13" s="13" t="s">
        <v>112</v>
      </c>
      <c r="F13" s="14">
        <v>0.56200000000000006</v>
      </c>
      <c r="G13" s="15">
        <v>14.27</v>
      </c>
      <c r="H13" s="14">
        <v>11.625999999999999</v>
      </c>
      <c r="I13" s="15">
        <v>295.26</v>
      </c>
      <c r="J13" s="16">
        <v>73.22</v>
      </c>
      <c r="K13" s="15">
        <v>108.93</v>
      </c>
    </row>
    <row r="14" spans="1:11" ht="18.95" customHeight="1" x14ac:dyDescent="0.25">
      <c r="A14" s="72"/>
      <c r="B14" s="72"/>
      <c r="C14" s="72"/>
      <c r="D14" s="72"/>
      <c r="E14" s="17" t="s">
        <v>113</v>
      </c>
      <c r="F14" s="18">
        <v>0.68799999999999994</v>
      </c>
      <c r="G14" s="19">
        <v>17.48</v>
      </c>
      <c r="H14" s="18">
        <v>11.374000000000001</v>
      </c>
      <c r="I14" s="19">
        <v>288.83999999999997</v>
      </c>
      <c r="J14" s="20">
        <v>88.71</v>
      </c>
      <c r="K14" s="19">
        <v>132.05000000000001</v>
      </c>
    </row>
    <row r="15" spans="1:11" ht="18.95" customHeight="1" x14ac:dyDescent="0.25">
      <c r="A15" s="72"/>
      <c r="B15" s="72"/>
      <c r="C15" s="72"/>
      <c r="D15" s="72"/>
      <c r="E15" s="13" t="s">
        <v>114</v>
      </c>
      <c r="F15" s="14">
        <v>0.84399999999999997</v>
      </c>
      <c r="G15" s="15">
        <v>21.44</v>
      </c>
      <c r="H15" s="14">
        <v>11.061999999999999</v>
      </c>
      <c r="I15" s="15">
        <v>280.92</v>
      </c>
      <c r="J15" s="16">
        <v>107.42</v>
      </c>
      <c r="K15" s="15">
        <v>159.87</v>
      </c>
    </row>
    <row r="16" spans="1:11" ht="18.95" customHeight="1" x14ac:dyDescent="0.25">
      <c r="A16" s="72"/>
      <c r="B16" s="72"/>
      <c r="C16" s="72"/>
      <c r="D16" s="72"/>
      <c r="E16" s="17" t="s">
        <v>115</v>
      </c>
      <c r="F16" s="18">
        <v>1</v>
      </c>
      <c r="G16" s="19">
        <v>25.4</v>
      </c>
      <c r="H16" s="18">
        <v>10.75</v>
      </c>
      <c r="I16" s="19">
        <v>273</v>
      </c>
      <c r="J16" s="20">
        <v>125.61</v>
      </c>
      <c r="K16" s="19">
        <v>186.92</v>
      </c>
    </row>
    <row r="17" spans="1:11" ht="18.95" customHeight="1" x14ac:dyDescent="0.25">
      <c r="A17" s="72"/>
      <c r="B17" s="72"/>
      <c r="C17" s="72"/>
      <c r="D17" s="72"/>
      <c r="E17" s="13" t="s">
        <v>116</v>
      </c>
      <c r="F17" s="14">
        <v>1.125</v>
      </c>
      <c r="G17" s="15">
        <v>28.58</v>
      </c>
      <c r="H17" s="14">
        <v>10.5</v>
      </c>
      <c r="I17" s="15">
        <v>266.64</v>
      </c>
      <c r="J17" s="16">
        <v>139.81</v>
      </c>
      <c r="K17" s="15">
        <v>208.08</v>
      </c>
    </row>
    <row r="18" spans="1:11" ht="18.95" customHeight="1" x14ac:dyDescent="0.25">
      <c r="A18" s="72"/>
      <c r="B18" s="72"/>
      <c r="C18" s="72"/>
      <c r="D18" s="72"/>
      <c r="E18" s="17" t="s">
        <v>117</v>
      </c>
      <c r="F18" s="18">
        <v>1.3120000000000001</v>
      </c>
      <c r="G18" s="19">
        <v>33.32</v>
      </c>
      <c r="H18" s="18">
        <v>10.125999999999999</v>
      </c>
      <c r="I18" s="19">
        <v>257.16000000000003</v>
      </c>
      <c r="J18" s="20">
        <v>160.41999999999999</v>
      </c>
      <c r="K18" s="19">
        <v>238.69</v>
      </c>
    </row>
    <row r="19" spans="1:11" ht="18.95" customHeight="1" x14ac:dyDescent="0.25">
      <c r="A19" s="71">
        <v>14</v>
      </c>
      <c r="B19" s="73">
        <v>350</v>
      </c>
      <c r="C19" s="71">
        <v>14</v>
      </c>
      <c r="D19" s="73">
        <v>355.6</v>
      </c>
      <c r="E19" s="13" t="s">
        <v>105</v>
      </c>
      <c r="F19" s="14">
        <v>0.188</v>
      </c>
      <c r="G19" s="15">
        <v>4.78</v>
      </c>
      <c r="H19" s="14">
        <v>13.624000000000001</v>
      </c>
      <c r="I19" s="15">
        <v>346.04</v>
      </c>
      <c r="J19" s="16">
        <v>27.76</v>
      </c>
      <c r="K19" s="15">
        <v>41.36</v>
      </c>
    </row>
    <row r="20" spans="1:11" ht="18.95" customHeight="1" x14ac:dyDescent="0.25">
      <c r="A20" s="72"/>
      <c r="B20" s="72"/>
      <c r="C20" s="72"/>
      <c r="D20" s="72"/>
      <c r="E20" s="17" t="s">
        <v>118</v>
      </c>
      <c r="F20" s="18">
        <v>0.25</v>
      </c>
      <c r="G20" s="19">
        <v>6.35</v>
      </c>
      <c r="H20" s="18">
        <v>13.5</v>
      </c>
      <c r="I20" s="19">
        <v>342.9</v>
      </c>
      <c r="J20" s="20">
        <v>36.75</v>
      </c>
      <c r="K20" s="19">
        <v>54.69</v>
      </c>
    </row>
    <row r="21" spans="1:11" ht="18.95" customHeight="1" x14ac:dyDescent="0.25">
      <c r="A21" s="72"/>
      <c r="B21" s="72"/>
      <c r="C21" s="72"/>
      <c r="D21" s="72"/>
      <c r="E21" s="13" t="s">
        <v>107</v>
      </c>
      <c r="F21" s="14">
        <v>0.312</v>
      </c>
      <c r="G21" s="15">
        <v>7.92</v>
      </c>
      <c r="H21" s="14">
        <v>13.375999999999999</v>
      </c>
      <c r="I21" s="15">
        <v>339.76</v>
      </c>
      <c r="J21" s="16">
        <v>45.65</v>
      </c>
      <c r="K21" s="15">
        <v>67.91</v>
      </c>
    </row>
    <row r="22" spans="1:11" ht="18.95" customHeight="1" x14ac:dyDescent="0.25">
      <c r="A22" s="72"/>
      <c r="B22" s="72"/>
      <c r="C22" s="72"/>
      <c r="D22" s="72"/>
      <c r="E22" s="17" t="s">
        <v>119</v>
      </c>
      <c r="F22" s="18">
        <v>0.375</v>
      </c>
      <c r="G22" s="19">
        <v>9.5299999999999994</v>
      </c>
      <c r="H22" s="18">
        <v>13.25</v>
      </c>
      <c r="I22" s="19">
        <v>336.54</v>
      </c>
      <c r="J22" s="20">
        <v>54.62</v>
      </c>
      <c r="K22" s="19">
        <v>81.33</v>
      </c>
    </row>
    <row r="23" spans="1:11" ht="18.95" customHeight="1" x14ac:dyDescent="0.25">
      <c r="A23" s="72"/>
      <c r="B23" s="72"/>
      <c r="C23" s="72"/>
      <c r="D23" s="72"/>
      <c r="E23" s="13" t="s">
        <v>110</v>
      </c>
      <c r="F23" s="14">
        <v>0.438</v>
      </c>
      <c r="G23" s="15">
        <v>11.13</v>
      </c>
      <c r="H23" s="14">
        <v>13.124000000000001</v>
      </c>
      <c r="I23" s="15">
        <v>333.34</v>
      </c>
      <c r="J23" s="16">
        <v>63.5</v>
      </c>
      <c r="K23" s="15">
        <v>94.55</v>
      </c>
    </row>
    <row r="24" spans="1:11" ht="18.95" customHeight="1" x14ac:dyDescent="0.25">
      <c r="A24" s="72"/>
      <c r="B24" s="72"/>
      <c r="C24" s="72"/>
      <c r="D24" s="72"/>
      <c r="E24" s="17" t="s">
        <v>111</v>
      </c>
      <c r="F24" s="18">
        <v>0.5</v>
      </c>
      <c r="G24" s="19">
        <v>12.7</v>
      </c>
      <c r="H24" s="18">
        <v>13</v>
      </c>
      <c r="I24" s="19">
        <v>330.2</v>
      </c>
      <c r="J24" s="20">
        <v>72.16</v>
      </c>
      <c r="K24" s="19">
        <v>107.4</v>
      </c>
    </row>
    <row r="25" spans="1:11" ht="18.95" customHeight="1" x14ac:dyDescent="0.25">
      <c r="A25" s="72"/>
      <c r="B25" s="72"/>
      <c r="C25" s="72"/>
      <c r="D25" s="72"/>
      <c r="E25" s="13" t="s">
        <v>112</v>
      </c>
      <c r="F25" s="14">
        <v>0.59399999999999997</v>
      </c>
      <c r="G25" s="15">
        <v>15.09</v>
      </c>
      <c r="H25" s="14">
        <v>12.811999999999999</v>
      </c>
      <c r="I25" s="15">
        <v>325.42</v>
      </c>
      <c r="J25" s="16">
        <v>85.13</v>
      </c>
      <c r="K25" s="15">
        <v>126.72</v>
      </c>
    </row>
    <row r="26" spans="1:11" ht="18.95" customHeight="1" x14ac:dyDescent="0.25">
      <c r="A26" s="72"/>
      <c r="B26" s="72"/>
      <c r="C26" s="72"/>
      <c r="D26" s="72"/>
      <c r="E26" s="17" t="s">
        <v>113</v>
      </c>
      <c r="F26" s="18">
        <v>0.75</v>
      </c>
      <c r="G26" s="19">
        <v>19.05</v>
      </c>
      <c r="H26" s="18">
        <v>12.5</v>
      </c>
      <c r="I26" s="19">
        <v>317.5</v>
      </c>
      <c r="J26" s="20">
        <v>106.23</v>
      </c>
      <c r="K26" s="19">
        <v>158.11000000000001</v>
      </c>
    </row>
    <row r="27" spans="1:11" ht="18.95" customHeight="1" x14ac:dyDescent="0.25">
      <c r="A27" s="72"/>
      <c r="B27" s="72"/>
      <c r="C27" s="72"/>
      <c r="D27" s="72"/>
      <c r="E27" s="13" t="s">
        <v>114</v>
      </c>
      <c r="F27" s="14">
        <v>0.93799999999999994</v>
      </c>
      <c r="G27" s="15">
        <v>23.83</v>
      </c>
      <c r="H27" s="14">
        <v>12.124000000000001</v>
      </c>
      <c r="I27" s="15">
        <v>307.94</v>
      </c>
      <c r="J27" s="16">
        <v>130.97999999999999</v>
      </c>
      <c r="K27" s="15">
        <v>194.98</v>
      </c>
    </row>
    <row r="28" spans="1:11" ht="18.95" customHeight="1" x14ac:dyDescent="0.25">
      <c r="A28" s="72"/>
      <c r="B28" s="72"/>
      <c r="C28" s="72"/>
      <c r="D28" s="72"/>
      <c r="E28" s="17" t="s">
        <v>115</v>
      </c>
      <c r="F28" s="18">
        <v>1.0940000000000001</v>
      </c>
      <c r="G28" s="19">
        <v>27.79</v>
      </c>
      <c r="H28" s="18">
        <v>11.811999999999999</v>
      </c>
      <c r="I28" s="19">
        <v>300.02</v>
      </c>
      <c r="J28" s="20">
        <v>150.93</v>
      </c>
      <c r="K28" s="19">
        <v>224.66</v>
      </c>
    </row>
    <row r="29" spans="1:11" ht="18.95" customHeight="1" x14ac:dyDescent="0.25">
      <c r="A29" s="72"/>
      <c r="B29" s="72"/>
      <c r="C29" s="72"/>
      <c r="D29" s="72"/>
      <c r="E29" s="13" t="s">
        <v>120</v>
      </c>
      <c r="F29" s="14">
        <v>1.25</v>
      </c>
      <c r="G29" s="15">
        <v>31.75</v>
      </c>
      <c r="H29" s="14">
        <v>11.5</v>
      </c>
      <c r="I29" s="15">
        <v>292.10000000000002</v>
      </c>
      <c r="J29" s="16">
        <v>170.37</v>
      </c>
      <c r="K29" s="15">
        <v>253.58</v>
      </c>
    </row>
    <row r="30" spans="1:11" ht="18.95" customHeight="1" x14ac:dyDescent="0.25">
      <c r="A30" s="72"/>
      <c r="B30" s="72"/>
      <c r="C30" s="72"/>
      <c r="D30" s="72"/>
      <c r="E30" s="17" t="s">
        <v>117</v>
      </c>
      <c r="F30" s="18">
        <v>1.4059999999999999</v>
      </c>
      <c r="G30" s="19">
        <v>35.71</v>
      </c>
      <c r="H30" s="18">
        <v>11.188000000000001</v>
      </c>
      <c r="I30" s="19">
        <v>284.18</v>
      </c>
      <c r="J30" s="20">
        <v>189.29</v>
      </c>
      <c r="K30" s="19">
        <v>281.72000000000003</v>
      </c>
    </row>
    <row r="31" spans="1:11" ht="18.95" customHeight="1" x14ac:dyDescent="0.25">
      <c r="A31" s="71">
        <v>16</v>
      </c>
      <c r="B31" s="73">
        <v>400</v>
      </c>
      <c r="C31" s="71">
        <v>16</v>
      </c>
      <c r="D31" s="73">
        <v>406.4</v>
      </c>
      <c r="E31" s="13" t="s">
        <v>105</v>
      </c>
      <c r="F31" s="14">
        <v>0.188</v>
      </c>
      <c r="G31" s="15">
        <v>4.78</v>
      </c>
      <c r="H31" s="14">
        <v>15.624000000000001</v>
      </c>
      <c r="I31" s="15">
        <v>396.84</v>
      </c>
      <c r="J31" s="16">
        <v>31.78</v>
      </c>
      <c r="K31" s="15">
        <v>47.34</v>
      </c>
    </row>
    <row r="32" spans="1:11" ht="18.95" customHeight="1" x14ac:dyDescent="0.25">
      <c r="A32" s="72"/>
      <c r="B32" s="72"/>
      <c r="C32" s="72"/>
      <c r="D32" s="72"/>
      <c r="E32" s="17" t="s">
        <v>118</v>
      </c>
      <c r="F32" s="18">
        <v>0.25</v>
      </c>
      <c r="G32" s="19">
        <v>6.35</v>
      </c>
      <c r="H32" s="18">
        <v>15.5</v>
      </c>
      <c r="I32" s="19">
        <v>393.7</v>
      </c>
      <c r="J32" s="20">
        <v>42.09</v>
      </c>
      <c r="K32" s="19">
        <v>62.65</v>
      </c>
    </row>
    <row r="33" spans="1:11" ht="18.95" customHeight="1" x14ac:dyDescent="0.25">
      <c r="A33" s="72"/>
      <c r="B33" s="72"/>
      <c r="C33" s="72"/>
      <c r="D33" s="72"/>
      <c r="E33" s="13" t="s">
        <v>107</v>
      </c>
      <c r="F33" s="14">
        <v>0.312</v>
      </c>
      <c r="G33" s="15">
        <v>7.92</v>
      </c>
      <c r="H33" s="14">
        <v>15.375999999999999</v>
      </c>
      <c r="I33" s="15">
        <v>390.56</v>
      </c>
      <c r="J33" s="16">
        <v>52.32</v>
      </c>
      <c r="K33" s="15">
        <v>77.83</v>
      </c>
    </row>
    <row r="34" spans="1:11" ht="18.95" customHeight="1" x14ac:dyDescent="0.25">
      <c r="A34" s="72"/>
      <c r="B34" s="72"/>
      <c r="C34" s="72"/>
      <c r="D34" s="72"/>
      <c r="E34" s="17" t="s">
        <v>109</v>
      </c>
      <c r="F34" s="18">
        <v>0.375</v>
      </c>
      <c r="G34" s="19">
        <v>9.5299999999999994</v>
      </c>
      <c r="H34" s="18">
        <v>15.25</v>
      </c>
      <c r="I34" s="19">
        <v>390.34</v>
      </c>
      <c r="J34" s="20">
        <v>62.64</v>
      </c>
      <c r="K34" s="19">
        <v>93.27</v>
      </c>
    </row>
    <row r="35" spans="1:11" ht="18.95" customHeight="1" x14ac:dyDescent="0.25">
      <c r="A35" s="72"/>
      <c r="B35" s="72"/>
      <c r="C35" s="72"/>
      <c r="D35" s="72"/>
      <c r="E35" s="13" t="s">
        <v>121</v>
      </c>
      <c r="F35" s="14">
        <v>0.5</v>
      </c>
      <c r="G35" s="15">
        <v>12.7</v>
      </c>
      <c r="H35" s="14">
        <v>15</v>
      </c>
      <c r="I35" s="15">
        <v>381</v>
      </c>
      <c r="J35" s="16">
        <v>82.85</v>
      </c>
      <c r="K35" s="15">
        <v>123.31</v>
      </c>
    </row>
    <row r="36" spans="1:11" ht="18.95" customHeight="1" x14ac:dyDescent="0.25">
      <c r="A36" s="72"/>
      <c r="B36" s="72"/>
      <c r="C36" s="72"/>
      <c r="D36" s="72"/>
      <c r="E36" s="17" t="s">
        <v>122</v>
      </c>
      <c r="F36" s="18">
        <v>0.65600000000000003</v>
      </c>
      <c r="G36" s="19">
        <v>16.66</v>
      </c>
      <c r="H36" s="18">
        <v>14.688000000000001</v>
      </c>
      <c r="I36" s="19">
        <v>373.08</v>
      </c>
      <c r="J36" s="20">
        <v>107.6</v>
      </c>
      <c r="K36" s="19">
        <v>160.13</v>
      </c>
    </row>
    <row r="37" spans="1:11" ht="18.95" customHeight="1" x14ac:dyDescent="0.25">
      <c r="A37" s="72"/>
      <c r="B37" s="72"/>
      <c r="C37" s="72"/>
      <c r="D37" s="72"/>
      <c r="E37" s="13" t="s">
        <v>113</v>
      </c>
      <c r="F37" s="14">
        <v>0.84399999999999997</v>
      </c>
      <c r="G37" s="15">
        <v>21.44</v>
      </c>
      <c r="H37" s="14">
        <v>14.311999999999999</v>
      </c>
      <c r="I37" s="15">
        <v>363.52</v>
      </c>
      <c r="J37" s="16">
        <v>136.74</v>
      </c>
      <c r="K37" s="15">
        <v>203.54</v>
      </c>
    </row>
    <row r="38" spans="1:11" ht="18.95" customHeight="1" x14ac:dyDescent="0.25">
      <c r="A38" s="72"/>
      <c r="B38" s="72"/>
      <c r="C38" s="72"/>
      <c r="D38" s="72"/>
      <c r="E38" s="17" t="s">
        <v>114</v>
      </c>
      <c r="F38" s="18">
        <v>1.0309999999999999</v>
      </c>
      <c r="G38" s="19">
        <v>26.19</v>
      </c>
      <c r="H38" s="18">
        <v>13.938000000000001</v>
      </c>
      <c r="I38" s="19">
        <v>354.02</v>
      </c>
      <c r="J38" s="20">
        <v>164.98</v>
      </c>
      <c r="K38" s="19">
        <v>245.57</v>
      </c>
    </row>
    <row r="39" spans="1:11" ht="18.95" customHeight="1" x14ac:dyDescent="0.25">
      <c r="A39" s="72"/>
      <c r="B39" s="72"/>
      <c r="C39" s="72"/>
      <c r="D39" s="72"/>
      <c r="E39" s="13" t="s">
        <v>115</v>
      </c>
      <c r="F39" s="14">
        <v>1.2190000000000001</v>
      </c>
      <c r="G39" s="15">
        <v>30.96</v>
      </c>
      <c r="H39" s="14">
        <v>13.561999999999999</v>
      </c>
      <c r="I39" s="15">
        <v>344.48</v>
      </c>
      <c r="J39" s="16">
        <v>192.61</v>
      </c>
      <c r="K39" s="15">
        <v>286.66000000000003</v>
      </c>
    </row>
    <row r="40" spans="1:11" ht="18.95" customHeight="1" x14ac:dyDescent="0.25">
      <c r="A40" s="72"/>
      <c r="B40" s="72"/>
      <c r="C40" s="72"/>
      <c r="D40" s="72"/>
      <c r="E40" s="17" t="s">
        <v>120</v>
      </c>
      <c r="F40" s="18">
        <v>1.4379999999999999</v>
      </c>
      <c r="G40" s="19">
        <v>36.53</v>
      </c>
      <c r="H40" s="18">
        <v>13.124000000000001</v>
      </c>
      <c r="I40" s="19">
        <v>333.34</v>
      </c>
      <c r="J40" s="20">
        <v>223.85</v>
      </c>
      <c r="K40" s="19">
        <v>333.21</v>
      </c>
    </row>
    <row r="41" spans="1:11" ht="18.95" customHeight="1" x14ac:dyDescent="0.25">
      <c r="A41" s="72"/>
      <c r="B41" s="72"/>
      <c r="C41" s="72"/>
      <c r="D41" s="72"/>
      <c r="E41" s="13" t="s">
        <v>117</v>
      </c>
      <c r="F41" s="14">
        <v>1.5940000000000001</v>
      </c>
      <c r="G41" s="15">
        <v>40.49</v>
      </c>
      <c r="H41" s="14">
        <v>12.811999999999999</v>
      </c>
      <c r="I41" s="15">
        <v>325.42</v>
      </c>
      <c r="J41" s="16">
        <v>245.48</v>
      </c>
      <c r="K41" s="15">
        <v>365.38</v>
      </c>
    </row>
    <row r="42" spans="1:11" ht="18.95" customHeight="1" x14ac:dyDescent="0.25">
      <c r="A42" s="71">
        <v>18</v>
      </c>
      <c r="B42" s="73">
        <v>450</v>
      </c>
      <c r="C42" s="71">
        <v>18</v>
      </c>
      <c r="D42" s="73">
        <v>457</v>
      </c>
      <c r="E42" s="13" t="s">
        <v>105</v>
      </c>
      <c r="F42" s="14">
        <v>0.188</v>
      </c>
      <c r="G42" s="15">
        <v>4.78</v>
      </c>
      <c r="H42" s="14">
        <v>17.623999999999999</v>
      </c>
      <c r="I42" s="15">
        <v>447.44</v>
      </c>
      <c r="J42" s="16">
        <v>35.799999999999997</v>
      </c>
      <c r="K42" s="15">
        <v>53.31</v>
      </c>
    </row>
    <row r="43" spans="1:11" ht="18.95" customHeight="1" x14ac:dyDescent="0.25">
      <c r="A43" s="72"/>
      <c r="B43" s="72"/>
      <c r="C43" s="72"/>
      <c r="D43" s="72"/>
      <c r="E43" s="17" t="s">
        <v>118</v>
      </c>
      <c r="F43" s="18">
        <v>0.25</v>
      </c>
      <c r="G43" s="19">
        <v>6.35</v>
      </c>
      <c r="H43" s="18">
        <v>17.5</v>
      </c>
      <c r="I43" s="19">
        <v>444.3</v>
      </c>
      <c r="J43" s="20">
        <v>47.44</v>
      </c>
      <c r="K43" s="19">
        <v>70.569999999999993</v>
      </c>
    </row>
    <row r="44" spans="1:11" ht="18.95" customHeight="1" x14ac:dyDescent="0.25">
      <c r="A44" s="72"/>
      <c r="B44" s="72"/>
      <c r="C44" s="72"/>
      <c r="D44" s="72"/>
      <c r="E44" s="13" t="s">
        <v>107</v>
      </c>
      <c r="F44" s="14">
        <v>0.312</v>
      </c>
      <c r="G44" s="15">
        <v>7.92</v>
      </c>
      <c r="H44" s="14">
        <v>17.376000000000001</v>
      </c>
      <c r="I44" s="15">
        <v>441.16</v>
      </c>
      <c r="J44" s="16">
        <v>58.99</v>
      </c>
      <c r="K44" s="15">
        <v>87.71</v>
      </c>
    </row>
    <row r="45" spans="1:11" ht="18.95" customHeight="1" x14ac:dyDescent="0.25">
      <c r="A45" s="72"/>
      <c r="B45" s="72"/>
      <c r="C45" s="72"/>
      <c r="D45" s="72"/>
      <c r="E45" s="17" t="s">
        <v>109</v>
      </c>
      <c r="F45" s="18">
        <v>0.375</v>
      </c>
      <c r="G45" s="19">
        <v>9.5299999999999994</v>
      </c>
      <c r="H45" s="18">
        <v>17.25</v>
      </c>
      <c r="I45" s="19">
        <v>437.94</v>
      </c>
      <c r="J45" s="20">
        <v>70.650000000000006</v>
      </c>
      <c r="K45" s="19">
        <v>105.17</v>
      </c>
    </row>
    <row r="46" spans="1:11" ht="18.95" customHeight="1" x14ac:dyDescent="0.25">
      <c r="A46" s="72"/>
      <c r="B46" s="72"/>
      <c r="C46" s="72"/>
      <c r="D46" s="72"/>
      <c r="E46" s="13" t="s">
        <v>108</v>
      </c>
      <c r="F46" s="14">
        <v>0.438</v>
      </c>
      <c r="G46" s="15">
        <v>11.13</v>
      </c>
      <c r="H46" s="14">
        <v>17.123999999999999</v>
      </c>
      <c r="I46" s="15">
        <v>434.74</v>
      </c>
      <c r="J46" s="16">
        <v>82.23</v>
      </c>
      <c r="K46" s="15">
        <v>122.38</v>
      </c>
    </row>
    <row r="47" spans="1:11" ht="18.95" customHeight="1" x14ac:dyDescent="0.25">
      <c r="A47" s="72"/>
      <c r="B47" s="72"/>
      <c r="C47" s="72"/>
      <c r="D47" s="72"/>
      <c r="E47" s="17" t="s">
        <v>111</v>
      </c>
      <c r="F47" s="18">
        <v>0.5</v>
      </c>
      <c r="G47" s="19">
        <v>12.7</v>
      </c>
      <c r="H47" s="18">
        <v>17</v>
      </c>
      <c r="I47" s="19">
        <v>431.6</v>
      </c>
      <c r="J47" s="20">
        <v>93.54</v>
      </c>
      <c r="K47" s="19">
        <v>139.16</v>
      </c>
    </row>
    <row r="48" spans="1:11" ht="18.95" customHeight="1" x14ac:dyDescent="0.25">
      <c r="A48" s="72"/>
      <c r="B48" s="72"/>
      <c r="C48" s="72"/>
      <c r="D48" s="72"/>
      <c r="E48" s="13" t="s">
        <v>110</v>
      </c>
      <c r="F48" s="14">
        <v>0.56200000000000006</v>
      </c>
      <c r="G48" s="15">
        <v>14.27</v>
      </c>
      <c r="H48" s="14">
        <v>16.876000000000001</v>
      </c>
      <c r="I48" s="15">
        <v>428.46</v>
      </c>
      <c r="J48" s="16">
        <v>104.76</v>
      </c>
      <c r="K48" s="15">
        <v>155.81</v>
      </c>
    </row>
    <row r="49" spans="1:11" ht="18.95" customHeight="1" x14ac:dyDescent="0.25">
      <c r="A49" s="72"/>
      <c r="B49" s="72"/>
      <c r="C49" s="72"/>
      <c r="D49" s="72"/>
      <c r="E49" s="17" t="s">
        <v>112</v>
      </c>
      <c r="F49" s="18">
        <v>0.75</v>
      </c>
      <c r="G49" s="19">
        <v>19.05</v>
      </c>
      <c r="H49" s="18">
        <v>16.5</v>
      </c>
      <c r="I49" s="19">
        <v>418.9</v>
      </c>
      <c r="J49" s="20">
        <v>138.30000000000001</v>
      </c>
      <c r="K49" s="19">
        <v>205.75</v>
      </c>
    </row>
    <row r="50" spans="1:11" ht="18.95" customHeight="1" x14ac:dyDescent="0.25">
      <c r="A50" s="72"/>
      <c r="B50" s="72"/>
      <c r="C50" s="72"/>
      <c r="D50" s="72"/>
      <c r="E50" s="13" t="s">
        <v>113</v>
      </c>
      <c r="F50" s="14">
        <v>0.93799999999999994</v>
      </c>
      <c r="G50" s="15">
        <v>23.83</v>
      </c>
      <c r="H50" s="14">
        <v>16.123999999999999</v>
      </c>
      <c r="I50" s="15">
        <v>409.34</v>
      </c>
      <c r="J50" s="16">
        <v>171.08</v>
      </c>
      <c r="K50" s="15">
        <v>254.57</v>
      </c>
    </row>
    <row r="51" spans="1:11" ht="18.95" customHeight="1" x14ac:dyDescent="0.25">
      <c r="A51" s="72"/>
      <c r="B51" s="72"/>
      <c r="C51" s="72"/>
      <c r="D51" s="72"/>
      <c r="E51" s="17" t="s">
        <v>114</v>
      </c>
      <c r="F51" s="18">
        <v>1.1559999999999999</v>
      </c>
      <c r="G51" s="19">
        <v>29.36</v>
      </c>
      <c r="H51" s="18">
        <v>15.688000000000001</v>
      </c>
      <c r="I51" s="19">
        <v>398.28</v>
      </c>
      <c r="J51" s="20">
        <v>208.15</v>
      </c>
      <c r="K51" s="19">
        <v>309.64</v>
      </c>
    </row>
    <row r="52" spans="1:11" ht="18.95" customHeight="1" x14ac:dyDescent="0.25">
      <c r="A52" s="72"/>
      <c r="B52" s="72"/>
      <c r="C52" s="72"/>
      <c r="D52" s="72"/>
      <c r="E52" s="13" t="s">
        <v>115</v>
      </c>
      <c r="F52" s="14">
        <v>1.375</v>
      </c>
      <c r="G52" s="15">
        <v>34.93</v>
      </c>
      <c r="H52" s="14">
        <v>15.25</v>
      </c>
      <c r="I52" s="15">
        <v>387.14</v>
      </c>
      <c r="J52" s="16">
        <v>244.37</v>
      </c>
      <c r="K52" s="15">
        <v>363.58</v>
      </c>
    </row>
    <row r="53" spans="1:11" ht="18.95" customHeight="1" x14ac:dyDescent="0.25">
      <c r="A53" s="72"/>
      <c r="B53" s="72"/>
      <c r="C53" s="72"/>
      <c r="D53" s="72"/>
      <c r="E53" s="17" t="s">
        <v>120</v>
      </c>
      <c r="F53" s="18">
        <v>1.5620000000000001</v>
      </c>
      <c r="G53" s="19">
        <v>39.67</v>
      </c>
      <c r="H53" s="18">
        <v>14.875999999999999</v>
      </c>
      <c r="I53" s="19">
        <v>377.66</v>
      </c>
      <c r="J53" s="20">
        <v>274.48</v>
      </c>
      <c r="K53" s="19">
        <v>408.28</v>
      </c>
    </row>
    <row r="54" spans="1:11" ht="18.95" customHeight="1" x14ac:dyDescent="0.25">
      <c r="A54" s="72"/>
      <c r="B54" s="72"/>
      <c r="C54" s="72"/>
      <c r="D54" s="72"/>
      <c r="E54" s="13" t="s">
        <v>117</v>
      </c>
      <c r="F54" s="14">
        <v>1.7809999999999999</v>
      </c>
      <c r="G54" s="15">
        <v>45.24</v>
      </c>
      <c r="H54" s="14">
        <v>14.438000000000001</v>
      </c>
      <c r="I54" s="15">
        <v>366.52</v>
      </c>
      <c r="J54" s="16">
        <v>308.79000000000002</v>
      </c>
      <c r="K54" s="15">
        <v>459.39</v>
      </c>
    </row>
    <row r="55" spans="1:11" ht="18.95" customHeight="1" x14ac:dyDescent="0.25">
      <c r="A55" s="71">
        <v>20</v>
      </c>
      <c r="B55" s="73">
        <v>500</v>
      </c>
      <c r="C55" s="71">
        <v>20</v>
      </c>
      <c r="D55" s="73">
        <v>508</v>
      </c>
      <c r="E55" s="13" t="s">
        <v>105</v>
      </c>
      <c r="F55" s="14">
        <v>0.218</v>
      </c>
      <c r="G55" s="15">
        <v>5.54</v>
      </c>
      <c r="H55" s="14">
        <v>19.564</v>
      </c>
      <c r="I55" s="15">
        <v>496.92</v>
      </c>
      <c r="J55" s="16">
        <v>46.1</v>
      </c>
      <c r="K55" s="15">
        <v>68.61</v>
      </c>
    </row>
    <row r="56" spans="1:11" ht="18.95" customHeight="1" x14ac:dyDescent="0.25">
      <c r="A56" s="72"/>
      <c r="B56" s="72"/>
      <c r="C56" s="72"/>
      <c r="D56" s="72"/>
      <c r="E56" s="17" t="s">
        <v>118</v>
      </c>
      <c r="F56" s="18">
        <v>0.25</v>
      </c>
      <c r="G56" s="19">
        <v>6.35</v>
      </c>
      <c r="H56" s="18">
        <v>19.5</v>
      </c>
      <c r="I56" s="19">
        <v>495.3</v>
      </c>
      <c r="J56" s="20">
        <v>52.78</v>
      </c>
      <c r="K56" s="19">
        <v>78.56</v>
      </c>
    </row>
    <row r="57" spans="1:11" ht="18.95" customHeight="1" x14ac:dyDescent="0.25">
      <c r="A57" s="72"/>
      <c r="B57" s="72"/>
      <c r="C57" s="72"/>
      <c r="D57" s="72"/>
      <c r="E57" s="13" t="s">
        <v>123</v>
      </c>
      <c r="F57" s="14">
        <v>0.375</v>
      </c>
      <c r="G57" s="15">
        <v>9.5299999999999994</v>
      </c>
      <c r="H57" s="14">
        <v>19.25</v>
      </c>
      <c r="I57" s="15">
        <v>488.94</v>
      </c>
      <c r="J57" s="16">
        <v>78.67</v>
      </c>
      <c r="K57" s="15">
        <v>117.15</v>
      </c>
    </row>
    <row r="58" spans="1:11" ht="18.95" customHeight="1" x14ac:dyDescent="0.25">
      <c r="A58" s="72"/>
      <c r="B58" s="72"/>
      <c r="C58" s="72"/>
      <c r="D58" s="72"/>
      <c r="E58" s="17" t="s">
        <v>124</v>
      </c>
      <c r="F58" s="18">
        <v>0.5</v>
      </c>
      <c r="G58" s="19">
        <v>12.7</v>
      </c>
      <c r="H58" s="18">
        <v>19</v>
      </c>
      <c r="I58" s="19">
        <v>482.6</v>
      </c>
      <c r="J58" s="20">
        <v>104.23</v>
      </c>
      <c r="K58" s="19">
        <v>155.13</v>
      </c>
    </row>
    <row r="59" spans="1:11" ht="18.95" customHeight="1" x14ac:dyDescent="0.25">
      <c r="A59" s="72"/>
      <c r="B59" s="72"/>
      <c r="C59" s="72"/>
      <c r="D59" s="72"/>
      <c r="E59" s="13" t="s">
        <v>110</v>
      </c>
      <c r="F59" s="14">
        <v>0.59399999999999997</v>
      </c>
      <c r="G59" s="15">
        <v>15.09</v>
      </c>
      <c r="H59" s="14">
        <v>18.812000000000001</v>
      </c>
      <c r="I59" s="15">
        <v>477.82</v>
      </c>
      <c r="J59" s="16">
        <v>123.23</v>
      </c>
      <c r="K59" s="15">
        <v>183.43</v>
      </c>
    </row>
    <row r="60" spans="1:11" ht="18.95" customHeight="1" x14ac:dyDescent="0.25">
      <c r="A60" s="72"/>
      <c r="B60" s="72"/>
      <c r="C60" s="72"/>
      <c r="D60" s="72"/>
      <c r="E60" s="17" t="s">
        <v>112</v>
      </c>
      <c r="F60" s="18">
        <v>0.81200000000000006</v>
      </c>
      <c r="G60" s="19">
        <v>20.62</v>
      </c>
      <c r="H60" s="18">
        <v>18.376000000000001</v>
      </c>
      <c r="I60" s="19">
        <v>466.76</v>
      </c>
      <c r="J60" s="20">
        <v>166.56</v>
      </c>
      <c r="K60" s="19">
        <v>247.84</v>
      </c>
    </row>
    <row r="61" spans="1:11" ht="18.95" customHeight="1" x14ac:dyDescent="0.25">
      <c r="A61" s="72"/>
      <c r="B61" s="72"/>
      <c r="C61" s="72"/>
      <c r="D61" s="72"/>
      <c r="E61" s="13" t="s">
        <v>113</v>
      </c>
      <c r="F61" s="14">
        <v>1.0309999999999999</v>
      </c>
      <c r="G61" s="15">
        <v>26.19</v>
      </c>
      <c r="H61" s="14">
        <v>17.937999999999999</v>
      </c>
      <c r="I61" s="15">
        <v>455.62</v>
      </c>
      <c r="J61" s="16">
        <v>209.06</v>
      </c>
      <c r="K61" s="15">
        <v>311.19</v>
      </c>
    </row>
    <row r="62" spans="1:11" ht="18.95" customHeight="1" x14ac:dyDescent="0.25">
      <c r="A62" s="72"/>
      <c r="B62" s="72"/>
      <c r="C62" s="72"/>
      <c r="D62" s="72"/>
      <c r="E62" s="17" t="s">
        <v>114</v>
      </c>
      <c r="F62" s="18">
        <v>1.2809999999999999</v>
      </c>
      <c r="G62" s="19">
        <v>32.54</v>
      </c>
      <c r="H62" s="18">
        <v>17.437999999999999</v>
      </c>
      <c r="I62" s="19">
        <v>442.92</v>
      </c>
      <c r="J62" s="20">
        <v>256.33999999999997</v>
      </c>
      <c r="K62" s="19">
        <v>381.55</v>
      </c>
    </row>
    <row r="63" spans="1:11" ht="18.95" customHeight="1" x14ac:dyDescent="0.25">
      <c r="A63" s="72"/>
      <c r="B63" s="72"/>
      <c r="C63" s="72"/>
      <c r="D63" s="72"/>
      <c r="E63" s="13" t="s">
        <v>115</v>
      </c>
      <c r="F63" s="14">
        <v>1.5</v>
      </c>
      <c r="G63" s="15">
        <v>38.1</v>
      </c>
      <c r="H63" s="14">
        <v>17</v>
      </c>
      <c r="I63" s="15">
        <v>431.8</v>
      </c>
      <c r="J63" s="16">
        <v>296.64999999999998</v>
      </c>
      <c r="K63" s="15">
        <v>441.52</v>
      </c>
    </row>
    <row r="64" spans="1:11" ht="18.95" customHeight="1" x14ac:dyDescent="0.25">
      <c r="A64" s="72"/>
      <c r="B64" s="72"/>
      <c r="C64" s="72"/>
      <c r="D64" s="72"/>
      <c r="E64" s="17" t="s">
        <v>120</v>
      </c>
      <c r="F64" s="18">
        <v>1.75</v>
      </c>
      <c r="G64" s="19">
        <v>44.45</v>
      </c>
      <c r="H64" s="18">
        <v>16.5</v>
      </c>
      <c r="I64" s="19">
        <v>419.1</v>
      </c>
      <c r="J64" s="20">
        <v>341.41</v>
      </c>
      <c r="K64" s="19">
        <v>508.15</v>
      </c>
    </row>
    <row r="65" spans="1:11" ht="18.95" customHeight="1" x14ac:dyDescent="0.25">
      <c r="A65" s="72"/>
      <c r="B65" s="72"/>
      <c r="C65" s="72"/>
      <c r="D65" s="72"/>
      <c r="E65" s="13" t="s">
        <v>117</v>
      </c>
      <c r="F65" s="14">
        <v>1.9690000000000001</v>
      </c>
      <c r="G65" s="15">
        <v>50.01</v>
      </c>
      <c r="H65" s="14">
        <v>16.062000000000001</v>
      </c>
      <c r="I65" s="15">
        <v>407.91</v>
      </c>
      <c r="J65" s="16">
        <v>379.53</v>
      </c>
      <c r="K65" s="15">
        <v>564.85</v>
      </c>
    </row>
    <row r="66" spans="1:11" ht="18.95" customHeight="1" x14ac:dyDescent="0.25">
      <c r="A66" s="71">
        <v>22</v>
      </c>
      <c r="B66" s="73">
        <v>550</v>
      </c>
      <c r="C66" s="71">
        <v>22</v>
      </c>
      <c r="D66" s="73">
        <v>559</v>
      </c>
      <c r="E66" s="13" t="s">
        <v>105</v>
      </c>
      <c r="F66" s="14">
        <v>0.218</v>
      </c>
      <c r="G66" s="15">
        <v>5.54</v>
      </c>
      <c r="H66" s="14">
        <v>21.564</v>
      </c>
      <c r="I66" s="15">
        <v>547.91999999999996</v>
      </c>
      <c r="J66" s="16">
        <v>50.76</v>
      </c>
      <c r="K66" s="15">
        <v>75.55</v>
      </c>
    </row>
    <row r="67" spans="1:11" ht="18.95" customHeight="1" x14ac:dyDescent="0.25">
      <c r="A67" s="72"/>
      <c r="B67" s="72"/>
      <c r="C67" s="72"/>
      <c r="D67" s="72"/>
      <c r="E67" s="17" t="s">
        <v>118</v>
      </c>
      <c r="F67" s="18">
        <v>0.25</v>
      </c>
      <c r="G67" s="19">
        <v>6.35</v>
      </c>
      <c r="H67" s="18">
        <v>21.5</v>
      </c>
      <c r="I67" s="19">
        <v>546.29999999999995</v>
      </c>
      <c r="J67" s="20">
        <v>58.13</v>
      </c>
      <c r="K67" s="19">
        <v>86.55</v>
      </c>
    </row>
    <row r="68" spans="1:11" ht="18.95" customHeight="1" x14ac:dyDescent="0.25">
      <c r="A68" s="72"/>
      <c r="B68" s="72"/>
      <c r="C68" s="72"/>
      <c r="D68" s="72"/>
      <c r="E68" s="13" t="s">
        <v>123</v>
      </c>
      <c r="F68" s="14">
        <v>0.375</v>
      </c>
      <c r="G68" s="15">
        <v>9.5299999999999994</v>
      </c>
      <c r="H68" s="14">
        <v>21.25</v>
      </c>
      <c r="I68" s="15">
        <v>539.94000000000005</v>
      </c>
      <c r="J68" s="16">
        <v>86.69</v>
      </c>
      <c r="K68" s="15">
        <v>129.13999999999999</v>
      </c>
    </row>
    <row r="69" spans="1:11" ht="18.95" customHeight="1" x14ac:dyDescent="0.25">
      <c r="A69" s="72"/>
      <c r="B69" s="72"/>
      <c r="C69" s="72"/>
      <c r="D69" s="72"/>
      <c r="E69" s="17" t="s">
        <v>124</v>
      </c>
      <c r="F69" s="18">
        <v>0.5</v>
      </c>
      <c r="G69" s="19">
        <v>12.7</v>
      </c>
      <c r="H69" s="18">
        <v>21</v>
      </c>
      <c r="I69" s="19">
        <v>533.6</v>
      </c>
      <c r="J69" s="20">
        <v>114.92</v>
      </c>
      <c r="K69" s="19">
        <v>171.1</v>
      </c>
    </row>
    <row r="70" spans="1:11" ht="18.95" customHeight="1" x14ac:dyDescent="0.25">
      <c r="A70" s="72"/>
      <c r="B70" s="72"/>
      <c r="C70" s="72"/>
      <c r="D70" s="72"/>
      <c r="E70" s="13" t="s">
        <v>112</v>
      </c>
      <c r="F70" s="14">
        <v>0.875</v>
      </c>
      <c r="G70" s="15">
        <v>22.23</v>
      </c>
      <c r="H70" s="14">
        <v>20.25</v>
      </c>
      <c r="I70" s="15">
        <v>514.54</v>
      </c>
      <c r="J70" s="16">
        <v>197.6</v>
      </c>
      <c r="K70" s="15">
        <v>294.27</v>
      </c>
    </row>
    <row r="71" spans="1:11" ht="18.95" customHeight="1" x14ac:dyDescent="0.25">
      <c r="A71" s="72"/>
      <c r="B71" s="72"/>
      <c r="C71" s="72"/>
      <c r="D71" s="72"/>
      <c r="E71" s="17" t="s">
        <v>113</v>
      </c>
      <c r="F71" s="18">
        <v>1.125</v>
      </c>
      <c r="G71" s="19">
        <v>28.58</v>
      </c>
      <c r="H71" s="18">
        <v>19.75</v>
      </c>
      <c r="I71" s="19">
        <v>501.84</v>
      </c>
      <c r="J71" s="20">
        <v>251.05</v>
      </c>
      <c r="K71" s="19">
        <v>373.85</v>
      </c>
    </row>
    <row r="72" spans="1:11" ht="18.95" customHeight="1" x14ac:dyDescent="0.25">
      <c r="A72" s="72"/>
      <c r="B72" s="72"/>
      <c r="C72" s="72"/>
      <c r="D72" s="72"/>
      <c r="E72" s="13" t="s">
        <v>114</v>
      </c>
      <c r="F72" s="14">
        <v>1.375</v>
      </c>
      <c r="G72" s="15">
        <v>34.93</v>
      </c>
      <c r="H72" s="14">
        <v>19.25</v>
      </c>
      <c r="I72" s="15">
        <v>489.14</v>
      </c>
      <c r="J72" s="16">
        <v>303.16000000000003</v>
      </c>
      <c r="K72" s="15">
        <v>451.45</v>
      </c>
    </row>
    <row r="73" spans="1:11" ht="18.95" customHeight="1" x14ac:dyDescent="0.25">
      <c r="A73" s="72"/>
      <c r="B73" s="72"/>
      <c r="C73" s="72"/>
      <c r="D73" s="72"/>
      <c r="E73" s="17" t="s">
        <v>115</v>
      </c>
      <c r="F73" s="18">
        <v>1.625</v>
      </c>
      <c r="G73" s="19">
        <v>41.28</v>
      </c>
      <c r="H73" s="18">
        <v>18.75</v>
      </c>
      <c r="I73" s="19">
        <v>476.44</v>
      </c>
      <c r="J73" s="20">
        <v>353.94</v>
      </c>
      <c r="K73" s="19">
        <v>527.04999999999995</v>
      </c>
    </row>
    <row r="74" spans="1:11" ht="18.95" customHeight="1" x14ac:dyDescent="0.25">
      <c r="A74" s="72"/>
      <c r="B74" s="72"/>
      <c r="C74" s="72"/>
      <c r="D74" s="72"/>
      <c r="E74" s="13" t="s">
        <v>120</v>
      </c>
      <c r="F74" s="14">
        <v>1.875</v>
      </c>
      <c r="G74" s="15">
        <v>47.63</v>
      </c>
      <c r="H74" s="14">
        <v>18.25</v>
      </c>
      <c r="I74" s="15">
        <v>463.74</v>
      </c>
      <c r="J74" s="16">
        <v>403.38</v>
      </c>
      <c r="K74" s="15">
        <v>600.66999999999996</v>
      </c>
    </row>
    <row r="75" spans="1:11" ht="18.95" customHeight="1" x14ac:dyDescent="0.25">
      <c r="A75" s="72"/>
      <c r="B75" s="72"/>
      <c r="C75" s="72"/>
      <c r="D75" s="72"/>
      <c r="E75" s="17" t="s">
        <v>117</v>
      </c>
      <c r="F75" s="18">
        <v>2.125</v>
      </c>
      <c r="G75" s="19">
        <v>53.98</v>
      </c>
      <c r="H75" s="18">
        <v>17.75</v>
      </c>
      <c r="I75" s="19">
        <v>451.04</v>
      </c>
      <c r="J75" s="20">
        <v>451.49</v>
      </c>
      <c r="K75" s="19">
        <v>672.3</v>
      </c>
    </row>
    <row r="76" spans="1:11" ht="18.95" customHeight="1" x14ac:dyDescent="0.25">
      <c r="A76" s="71">
        <v>24</v>
      </c>
      <c r="B76" s="73">
        <v>600</v>
      </c>
      <c r="C76" s="71">
        <v>24</v>
      </c>
      <c r="D76" s="73">
        <v>610</v>
      </c>
      <c r="E76" s="13" t="s">
        <v>105</v>
      </c>
      <c r="F76" s="14">
        <v>0.25</v>
      </c>
      <c r="G76" s="15">
        <v>6.35</v>
      </c>
      <c r="H76" s="14">
        <v>23.5</v>
      </c>
      <c r="I76" s="15">
        <v>597.29999999999995</v>
      </c>
      <c r="J76" s="16">
        <v>63.47</v>
      </c>
      <c r="K76" s="15">
        <v>94.53</v>
      </c>
    </row>
    <row r="77" spans="1:11" ht="18.95" customHeight="1" x14ac:dyDescent="0.25">
      <c r="A77" s="72"/>
      <c r="B77" s="72"/>
      <c r="C77" s="72"/>
      <c r="D77" s="72"/>
      <c r="E77" s="17" t="s">
        <v>123</v>
      </c>
      <c r="F77" s="18">
        <v>0.375</v>
      </c>
      <c r="G77" s="19">
        <v>9.5299999999999994</v>
      </c>
      <c r="H77" s="18">
        <v>23.25</v>
      </c>
      <c r="I77" s="19">
        <v>590.94000000000005</v>
      </c>
      <c r="J77" s="20">
        <v>94.71</v>
      </c>
      <c r="K77" s="19">
        <v>141.12</v>
      </c>
    </row>
    <row r="78" spans="1:11" ht="18.95" customHeight="1" x14ac:dyDescent="0.25">
      <c r="A78" s="72"/>
      <c r="B78" s="72"/>
      <c r="C78" s="72"/>
      <c r="D78" s="72"/>
      <c r="E78" s="13" t="s">
        <v>111</v>
      </c>
      <c r="F78" s="14">
        <v>0.5</v>
      </c>
      <c r="G78" s="15">
        <v>12.7</v>
      </c>
      <c r="H78" s="14">
        <v>23</v>
      </c>
      <c r="I78" s="15">
        <v>584.6</v>
      </c>
      <c r="J78" s="16">
        <v>125.61</v>
      </c>
      <c r="K78" s="15">
        <v>187.07</v>
      </c>
    </row>
    <row r="79" spans="1:11" ht="18.95" customHeight="1" x14ac:dyDescent="0.25">
      <c r="A79" s="72"/>
      <c r="B79" s="72"/>
      <c r="C79" s="72"/>
      <c r="D79" s="72"/>
      <c r="E79" s="17" t="s">
        <v>108</v>
      </c>
      <c r="F79" s="18">
        <v>0.56200000000000006</v>
      </c>
      <c r="G79" s="19">
        <v>14.27</v>
      </c>
      <c r="H79" s="18">
        <v>22.876000000000001</v>
      </c>
      <c r="I79" s="19">
        <v>581.46</v>
      </c>
      <c r="J79" s="20">
        <v>140.81</v>
      </c>
      <c r="K79" s="19">
        <v>209.65</v>
      </c>
    </row>
    <row r="80" spans="1:11" ht="18.95" customHeight="1" x14ac:dyDescent="0.25">
      <c r="A80" s="72"/>
      <c r="B80" s="72"/>
      <c r="C80" s="72"/>
      <c r="D80" s="72"/>
      <c r="E80" s="13" t="s">
        <v>110</v>
      </c>
      <c r="F80" s="14">
        <v>0.68799999999999994</v>
      </c>
      <c r="G80" s="15">
        <v>17.48</v>
      </c>
      <c r="H80" s="14">
        <v>22.623999999999999</v>
      </c>
      <c r="I80" s="15">
        <v>575.04</v>
      </c>
      <c r="J80" s="16">
        <v>171.45</v>
      </c>
      <c r="K80" s="15">
        <v>255.43</v>
      </c>
    </row>
    <row r="81" spans="1:11" ht="18.95" customHeight="1" x14ac:dyDescent="0.25">
      <c r="A81" s="72"/>
      <c r="B81" s="72"/>
      <c r="C81" s="72"/>
      <c r="D81" s="72"/>
      <c r="E81" s="17" t="s">
        <v>112</v>
      </c>
      <c r="F81" s="18">
        <v>0.96899999999999997</v>
      </c>
      <c r="G81" s="19">
        <v>24.61</v>
      </c>
      <c r="H81" s="18">
        <v>22.062000000000001</v>
      </c>
      <c r="I81" s="19">
        <v>560.78</v>
      </c>
      <c r="J81" s="20">
        <v>238.57</v>
      </c>
      <c r="K81" s="19">
        <v>355.28</v>
      </c>
    </row>
    <row r="82" spans="1:11" ht="18.95" customHeight="1" x14ac:dyDescent="0.25">
      <c r="A82" s="72"/>
      <c r="B82" s="72"/>
      <c r="C82" s="72"/>
      <c r="D82" s="72"/>
      <c r="E82" s="13" t="s">
        <v>113</v>
      </c>
      <c r="F82" s="14">
        <v>1.2190000000000001</v>
      </c>
      <c r="G82" s="15">
        <v>30.96</v>
      </c>
      <c r="H82" s="14">
        <v>21.562000000000001</v>
      </c>
      <c r="I82" s="15">
        <v>548.08000000000004</v>
      </c>
      <c r="J82" s="16">
        <v>296.86</v>
      </c>
      <c r="K82" s="15">
        <v>442.11</v>
      </c>
    </row>
    <row r="83" spans="1:11" ht="18.95" customHeight="1" x14ac:dyDescent="0.25">
      <c r="A83" s="72"/>
      <c r="B83" s="72"/>
      <c r="C83" s="72"/>
      <c r="D83" s="72"/>
      <c r="E83" s="17" t="s">
        <v>114</v>
      </c>
      <c r="F83" s="18">
        <v>1.5309999999999999</v>
      </c>
      <c r="G83" s="19">
        <v>38.89</v>
      </c>
      <c r="H83" s="18">
        <v>20.937999999999999</v>
      </c>
      <c r="I83" s="19">
        <v>532.22</v>
      </c>
      <c r="J83" s="20">
        <v>367.74</v>
      </c>
      <c r="K83" s="19">
        <v>547.74</v>
      </c>
    </row>
    <row r="84" spans="1:11" ht="18.95" customHeight="1" x14ac:dyDescent="0.25">
      <c r="A84" s="72"/>
      <c r="B84" s="72"/>
      <c r="C84" s="72"/>
      <c r="D84" s="72"/>
      <c r="E84" s="13" t="s">
        <v>115</v>
      </c>
      <c r="F84" s="14">
        <v>1.8120000000000001</v>
      </c>
      <c r="G84" s="15">
        <v>46.02</v>
      </c>
      <c r="H84" s="14">
        <v>20.376000000000001</v>
      </c>
      <c r="I84" s="15">
        <v>517.96</v>
      </c>
      <c r="J84" s="16">
        <v>429.79</v>
      </c>
      <c r="K84" s="15">
        <v>640.07000000000005</v>
      </c>
    </row>
    <row r="85" spans="1:11" ht="18.95" customHeight="1" x14ac:dyDescent="0.25">
      <c r="A85" s="72"/>
      <c r="B85" s="72"/>
      <c r="C85" s="72"/>
      <c r="D85" s="72"/>
      <c r="E85" s="17" t="s">
        <v>120</v>
      </c>
      <c r="F85" s="18">
        <v>2.0619999999999998</v>
      </c>
      <c r="G85" s="19">
        <v>52.37</v>
      </c>
      <c r="H85" s="18">
        <v>19.876000000000001</v>
      </c>
      <c r="I85" s="19">
        <v>505.26</v>
      </c>
      <c r="J85" s="20">
        <v>483.57</v>
      </c>
      <c r="K85" s="19">
        <v>720.19</v>
      </c>
    </row>
    <row r="86" spans="1:11" ht="18.95" customHeight="1" x14ac:dyDescent="0.25">
      <c r="A86" s="72"/>
      <c r="B86" s="72"/>
      <c r="C86" s="72"/>
      <c r="D86" s="72"/>
      <c r="E86" s="13" t="s">
        <v>117</v>
      </c>
      <c r="F86" s="14">
        <v>2.3439999999999999</v>
      </c>
      <c r="G86" s="15">
        <v>59.54</v>
      </c>
      <c r="H86" s="14">
        <v>19.312000000000001</v>
      </c>
      <c r="I86" s="15">
        <v>490.92</v>
      </c>
      <c r="J86" s="16">
        <v>542.61</v>
      </c>
      <c r="K86" s="15">
        <v>808.27</v>
      </c>
    </row>
    <row r="87" spans="1:11" ht="18.95" customHeight="1" x14ac:dyDescent="0.25">
      <c r="A87" s="71">
        <v>26</v>
      </c>
      <c r="B87" s="73">
        <v>650</v>
      </c>
      <c r="C87" s="71">
        <v>26</v>
      </c>
      <c r="D87" s="73">
        <v>660</v>
      </c>
      <c r="E87" s="13" t="s">
        <v>125</v>
      </c>
      <c r="F87" s="14">
        <v>0.312</v>
      </c>
      <c r="G87" s="15">
        <v>7.92</v>
      </c>
      <c r="H87" s="14">
        <v>25.376000000000001</v>
      </c>
      <c r="I87" s="15">
        <v>644.16</v>
      </c>
      <c r="J87" s="16">
        <v>85.68</v>
      </c>
      <c r="K87" s="15">
        <v>127.36</v>
      </c>
    </row>
    <row r="88" spans="1:11" ht="18.95" customHeight="1" x14ac:dyDescent="0.25">
      <c r="A88" s="72"/>
      <c r="B88" s="72"/>
      <c r="C88" s="72"/>
      <c r="D88" s="72"/>
      <c r="E88" s="17" t="s">
        <v>126</v>
      </c>
      <c r="F88" s="18">
        <v>0.375</v>
      </c>
      <c r="G88" s="19">
        <v>9.5299999999999994</v>
      </c>
      <c r="H88" s="18">
        <v>25.25</v>
      </c>
      <c r="I88" s="19">
        <v>640.94000000000005</v>
      </c>
      <c r="J88" s="20">
        <v>102.72</v>
      </c>
      <c r="K88" s="19">
        <v>152.88</v>
      </c>
    </row>
    <row r="89" spans="1:11" ht="18.95" customHeight="1" x14ac:dyDescent="0.25">
      <c r="A89" s="72"/>
      <c r="B89" s="72"/>
      <c r="C89" s="72"/>
      <c r="D89" s="72"/>
      <c r="E89" s="13" t="s">
        <v>127</v>
      </c>
      <c r="F89" s="14">
        <v>0.5</v>
      </c>
      <c r="G89" s="15">
        <v>12.7</v>
      </c>
      <c r="H89" s="14">
        <v>25</v>
      </c>
      <c r="I89" s="15">
        <v>634.6</v>
      </c>
      <c r="J89" s="16">
        <v>136.30000000000001</v>
      </c>
      <c r="K89" s="15">
        <v>202.74</v>
      </c>
    </row>
    <row r="90" spans="1:11" ht="18.95" customHeight="1" x14ac:dyDescent="0.25">
      <c r="A90" s="71">
        <v>28</v>
      </c>
      <c r="B90" s="73">
        <v>700</v>
      </c>
      <c r="C90" s="71">
        <v>28</v>
      </c>
      <c r="D90" s="73">
        <v>711</v>
      </c>
      <c r="E90" s="13" t="s">
        <v>118</v>
      </c>
      <c r="F90" s="14">
        <v>0.312</v>
      </c>
      <c r="G90" s="15">
        <v>7.92</v>
      </c>
      <c r="H90" s="14">
        <v>27.376000000000001</v>
      </c>
      <c r="I90" s="15">
        <v>695.16</v>
      </c>
      <c r="J90" s="16">
        <v>92.35</v>
      </c>
      <c r="K90" s="15">
        <v>137.32</v>
      </c>
    </row>
    <row r="91" spans="1:11" ht="18.95" customHeight="1" x14ac:dyDescent="0.25">
      <c r="A91" s="72"/>
      <c r="B91" s="72"/>
      <c r="C91" s="72"/>
      <c r="D91" s="72"/>
      <c r="E91" s="17" t="s">
        <v>109</v>
      </c>
      <c r="F91" s="18">
        <v>0.375</v>
      </c>
      <c r="G91" s="19">
        <v>9.5299999999999994</v>
      </c>
      <c r="H91" s="18">
        <v>27.25</v>
      </c>
      <c r="I91" s="19">
        <v>691.94</v>
      </c>
      <c r="J91" s="20">
        <v>110.74</v>
      </c>
      <c r="K91" s="19">
        <v>146.86000000000001</v>
      </c>
    </row>
    <row r="92" spans="1:11" ht="18.95" customHeight="1" x14ac:dyDescent="0.25">
      <c r="A92" s="72"/>
      <c r="B92" s="72"/>
      <c r="C92" s="72"/>
      <c r="D92" s="72"/>
      <c r="E92" s="13" t="s">
        <v>128</v>
      </c>
      <c r="F92" s="14">
        <v>0.5</v>
      </c>
      <c r="G92" s="15">
        <v>12.7</v>
      </c>
      <c r="H92" s="14">
        <v>27</v>
      </c>
      <c r="I92" s="15">
        <v>985.6</v>
      </c>
      <c r="J92" s="16">
        <v>146.99</v>
      </c>
      <c r="K92" s="15">
        <v>218.71</v>
      </c>
    </row>
    <row r="93" spans="1:11" ht="18.95" customHeight="1" x14ac:dyDescent="0.25">
      <c r="A93" s="72"/>
      <c r="B93" s="72"/>
      <c r="C93" s="72"/>
      <c r="D93" s="72"/>
      <c r="E93" s="17" t="s">
        <v>108</v>
      </c>
      <c r="F93" s="18">
        <v>0.625</v>
      </c>
      <c r="G93" s="19">
        <v>15.88</v>
      </c>
      <c r="H93" s="18">
        <v>26.75</v>
      </c>
      <c r="I93" s="19">
        <v>679.24</v>
      </c>
      <c r="J93" s="20">
        <v>182.9</v>
      </c>
      <c r="K93" s="19">
        <v>272.23</v>
      </c>
    </row>
    <row r="94" spans="1:11" ht="18.95" customHeight="1" x14ac:dyDescent="0.25">
      <c r="A94" s="71">
        <v>30</v>
      </c>
      <c r="B94" s="73">
        <v>750</v>
      </c>
      <c r="C94" s="71">
        <v>30</v>
      </c>
      <c r="D94" s="73">
        <v>762</v>
      </c>
      <c r="E94" s="13" t="s">
        <v>118</v>
      </c>
      <c r="F94" s="14">
        <v>0.312</v>
      </c>
      <c r="G94" s="15">
        <v>7.92</v>
      </c>
      <c r="H94" s="14">
        <v>29.376000000000001</v>
      </c>
      <c r="I94" s="15">
        <v>746.16</v>
      </c>
      <c r="J94" s="16">
        <v>99.02</v>
      </c>
      <c r="K94" s="15">
        <v>147.29</v>
      </c>
    </row>
    <row r="95" spans="1:11" ht="18.95" customHeight="1" x14ac:dyDescent="0.25">
      <c r="A95" s="72"/>
      <c r="B95" s="72"/>
      <c r="C95" s="72"/>
      <c r="D95" s="72"/>
      <c r="E95" s="17" t="s">
        <v>109</v>
      </c>
      <c r="F95" s="18">
        <v>0.375</v>
      </c>
      <c r="G95" s="19">
        <v>9.5299999999999994</v>
      </c>
      <c r="H95" s="18">
        <v>29.25</v>
      </c>
      <c r="I95" s="19">
        <v>742.94</v>
      </c>
      <c r="J95" s="20">
        <v>118.76</v>
      </c>
      <c r="K95" s="19">
        <v>176.85</v>
      </c>
    </row>
    <row r="96" spans="1:11" ht="18.95" customHeight="1" x14ac:dyDescent="0.25">
      <c r="A96" s="72"/>
      <c r="B96" s="72"/>
      <c r="C96" s="72"/>
      <c r="D96" s="72"/>
      <c r="E96" s="13" t="s">
        <v>128</v>
      </c>
      <c r="F96" s="14">
        <v>0.5</v>
      </c>
      <c r="G96" s="15">
        <v>12.7</v>
      </c>
      <c r="H96" s="14">
        <v>29</v>
      </c>
      <c r="I96" s="15">
        <v>736.6</v>
      </c>
      <c r="J96" s="16">
        <v>157.68</v>
      </c>
      <c r="K96" s="15">
        <v>234.68</v>
      </c>
    </row>
    <row r="97" spans="1:11" ht="18.95" customHeight="1" x14ac:dyDescent="0.25">
      <c r="A97" s="72"/>
      <c r="B97" s="72"/>
      <c r="C97" s="72"/>
      <c r="D97" s="72"/>
      <c r="E97" s="17" t="s">
        <v>108</v>
      </c>
      <c r="F97" s="18">
        <v>0.625</v>
      </c>
      <c r="G97" s="19">
        <v>15.88</v>
      </c>
      <c r="H97" s="18">
        <v>28.75</v>
      </c>
      <c r="I97" s="19">
        <v>730.24</v>
      </c>
      <c r="J97" s="20">
        <v>196.26</v>
      </c>
      <c r="K97" s="19">
        <v>292.2</v>
      </c>
    </row>
    <row r="98" spans="1:11" ht="18.95" customHeight="1" x14ac:dyDescent="0.25">
      <c r="A98" s="71">
        <v>32</v>
      </c>
      <c r="B98" s="73">
        <v>800</v>
      </c>
      <c r="C98" s="71">
        <v>32</v>
      </c>
      <c r="D98" s="73">
        <v>813</v>
      </c>
      <c r="E98" s="13" t="s">
        <v>118</v>
      </c>
      <c r="F98" s="14">
        <v>0.312</v>
      </c>
      <c r="G98" s="15">
        <v>7.92</v>
      </c>
      <c r="H98" s="14">
        <v>31.376000000000001</v>
      </c>
      <c r="I98" s="15">
        <v>797.16</v>
      </c>
      <c r="J98" s="16">
        <v>105.69</v>
      </c>
      <c r="K98" s="15">
        <v>157.25</v>
      </c>
    </row>
    <row r="99" spans="1:11" ht="18.95" customHeight="1" x14ac:dyDescent="0.25">
      <c r="A99" s="72"/>
      <c r="B99" s="72"/>
      <c r="C99" s="72"/>
      <c r="D99" s="72"/>
      <c r="E99" s="17" t="s">
        <v>129</v>
      </c>
      <c r="F99" s="18">
        <v>0.375</v>
      </c>
      <c r="G99" s="19">
        <v>9.5299999999999994</v>
      </c>
      <c r="H99" s="18">
        <v>31.25</v>
      </c>
      <c r="I99" s="19">
        <v>793.94</v>
      </c>
      <c r="J99" s="20">
        <v>126.78</v>
      </c>
      <c r="K99" s="19">
        <v>188.83</v>
      </c>
    </row>
    <row r="100" spans="1:11" ht="18.95" customHeight="1" x14ac:dyDescent="0.25">
      <c r="A100" s="72"/>
      <c r="B100" s="72"/>
      <c r="C100" s="72"/>
      <c r="D100" s="72"/>
      <c r="E100" s="13" t="s">
        <v>130</v>
      </c>
      <c r="F100" s="14">
        <v>0.5</v>
      </c>
      <c r="G100" s="15">
        <v>12.7</v>
      </c>
      <c r="H100" s="14">
        <v>31</v>
      </c>
      <c r="I100" s="15">
        <v>787.6</v>
      </c>
      <c r="J100" s="16">
        <v>168.37</v>
      </c>
      <c r="K100" s="15">
        <v>250.65</v>
      </c>
    </row>
    <row r="101" spans="1:11" ht="18.95" customHeight="1" x14ac:dyDescent="0.25">
      <c r="A101" s="72"/>
      <c r="B101" s="72"/>
      <c r="C101" s="72"/>
      <c r="D101" s="72"/>
      <c r="E101" s="17" t="s">
        <v>108</v>
      </c>
      <c r="F101" s="18">
        <v>0.625</v>
      </c>
      <c r="G101" s="19">
        <v>15.88</v>
      </c>
      <c r="H101" s="18">
        <v>30.75</v>
      </c>
      <c r="I101" s="19">
        <v>781.24</v>
      </c>
      <c r="J101" s="20">
        <v>209.62</v>
      </c>
      <c r="K101" s="19">
        <v>312.17</v>
      </c>
    </row>
    <row r="102" spans="1:11" ht="18.95" customHeight="1" x14ac:dyDescent="0.25">
      <c r="A102" s="72"/>
      <c r="B102" s="72"/>
      <c r="C102" s="72"/>
      <c r="D102" s="72"/>
      <c r="E102" s="13" t="s">
        <v>110</v>
      </c>
      <c r="F102" s="14">
        <v>0.68799999999999994</v>
      </c>
      <c r="G102" s="15">
        <v>17.48</v>
      </c>
      <c r="H102" s="14">
        <v>30.623999999999999</v>
      </c>
      <c r="I102" s="15">
        <v>778.04</v>
      </c>
      <c r="J102" s="16">
        <v>230.29</v>
      </c>
      <c r="K102" s="15">
        <v>364.92</v>
      </c>
    </row>
  </sheetData>
  <mergeCells count="50">
    <mergeCell ref="A1:K1"/>
    <mergeCell ref="A3:B3"/>
    <mergeCell ref="C3:D3"/>
    <mergeCell ref="F3:G3"/>
    <mergeCell ref="H3:I3"/>
    <mergeCell ref="J3:K3"/>
    <mergeCell ref="A5:A18"/>
    <mergeCell ref="B5:B18"/>
    <mergeCell ref="C5:C18"/>
    <mergeCell ref="D5:D18"/>
    <mergeCell ref="A19:A30"/>
    <mergeCell ref="B19:B30"/>
    <mergeCell ref="C19:C30"/>
    <mergeCell ref="D19:D30"/>
    <mergeCell ref="A31:A41"/>
    <mergeCell ref="B31:B41"/>
    <mergeCell ref="C31:C41"/>
    <mergeCell ref="D31:D41"/>
    <mergeCell ref="A42:A54"/>
    <mergeCell ref="B42:B54"/>
    <mergeCell ref="C42:C54"/>
    <mergeCell ref="D42:D54"/>
    <mergeCell ref="A55:A65"/>
    <mergeCell ref="B55:B65"/>
    <mergeCell ref="C55:C65"/>
    <mergeCell ref="D55:D65"/>
    <mergeCell ref="A66:A75"/>
    <mergeCell ref="B66:B75"/>
    <mergeCell ref="C66:C75"/>
    <mergeCell ref="D66:D75"/>
    <mergeCell ref="A76:A86"/>
    <mergeCell ref="B76:B86"/>
    <mergeCell ref="C76:C86"/>
    <mergeCell ref="D76:D86"/>
    <mergeCell ref="A87:A89"/>
    <mergeCell ref="B87:B89"/>
    <mergeCell ref="C87:C89"/>
    <mergeCell ref="D87:D89"/>
    <mergeCell ref="A98:A102"/>
    <mergeCell ref="B98:B102"/>
    <mergeCell ref="C98:C102"/>
    <mergeCell ref="D98:D102"/>
    <mergeCell ref="A90:A93"/>
    <mergeCell ref="B90:B93"/>
    <mergeCell ref="C90:C93"/>
    <mergeCell ref="D90:D93"/>
    <mergeCell ref="A94:A97"/>
    <mergeCell ref="B94:B97"/>
    <mergeCell ref="C94:C97"/>
    <mergeCell ref="D94:D9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1774D-A9EF-48FF-9525-769AB2AE5D73}">
  <dimension ref="A1:I24"/>
  <sheetViews>
    <sheetView workbookViewId="0">
      <selection activeCell="F26" sqref="F26:F27"/>
    </sheetView>
  </sheetViews>
  <sheetFormatPr defaultRowHeight="15" x14ac:dyDescent="0.25"/>
  <sheetData>
    <row r="1" spans="1:9" ht="15" customHeight="1" x14ac:dyDescent="0.25">
      <c r="A1" s="77" t="s">
        <v>218</v>
      </c>
      <c r="B1" s="78" t="s">
        <v>219</v>
      </c>
      <c r="C1" s="78"/>
      <c r="D1" s="78"/>
      <c r="E1" s="77" t="s">
        <v>218</v>
      </c>
    </row>
    <row r="2" spans="1:9" ht="15" customHeight="1" x14ac:dyDescent="0.25">
      <c r="A2" s="77"/>
      <c r="B2" s="29" t="s">
        <v>220</v>
      </c>
      <c r="C2" s="29" t="s">
        <v>221</v>
      </c>
      <c r="D2" s="29" t="s">
        <v>222</v>
      </c>
      <c r="E2" s="77"/>
    </row>
    <row r="3" spans="1:9" x14ac:dyDescent="0.25">
      <c r="A3" s="28" t="s">
        <v>223</v>
      </c>
      <c r="B3" s="29">
        <v>4.3090000000000002</v>
      </c>
      <c r="C3" s="29">
        <v>4.4480000000000004</v>
      </c>
      <c r="D3" s="29">
        <v>11.97</v>
      </c>
      <c r="E3" s="28">
        <v>0.7</v>
      </c>
    </row>
    <row r="4" spans="1:9" x14ac:dyDescent="0.25">
      <c r="A4" s="28" t="s">
        <v>224</v>
      </c>
      <c r="B4" s="29">
        <v>5.54</v>
      </c>
      <c r="C4" s="29">
        <v>5.7190000000000003</v>
      </c>
      <c r="D4" s="29">
        <v>15.39</v>
      </c>
      <c r="E4" s="28">
        <v>0.9</v>
      </c>
    </row>
    <row r="5" spans="1:9" x14ac:dyDescent="0.25">
      <c r="A5" s="28" t="s">
        <v>225</v>
      </c>
      <c r="B5" s="29">
        <v>6.1559999999999997</v>
      </c>
      <c r="C5" s="29">
        <v>6.3550000000000004</v>
      </c>
      <c r="D5" s="29">
        <v>17.100000000000001</v>
      </c>
      <c r="E5" s="28">
        <v>1</v>
      </c>
    </row>
    <row r="6" spans="1:9" x14ac:dyDescent="0.25">
      <c r="A6" s="28" t="s">
        <v>226</v>
      </c>
      <c r="B6" s="29">
        <v>7.3869999999999996</v>
      </c>
      <c r="C6" s="29">
        <v>7.625</v>
      </c>
      <c r="D6" s="29">
        <v>20.52</v>
      </c>
      <c r="E6" s="28">
        <v>1.2</v>
      </c>
    </row>
    <row r="7" spans="1:9" x14ac:dyDescent="0.25">
      <c r="A7" s="28" t="s">
        <v>227</v>
      </c>
      <c r="B7" s="29">
        <v>9.234</v>
      </c>
      <c r="C7" s="29">
        <v>9.532</v>
      </c>
      <c r="D7" s="29">
        <v>25.65</v>
      </c>
      <c r="E7" s="28">
        <v>1.5</v>
      </c>
    </row>
    <row r="8" spans="1:9" x14ac:dyDescent="0.25">
      <c r="A8" s="28" t="s">
        <v>228</v>
      </c>
      <c r="B8" s="29">
        <v>9.85</v>
      </c>
      <c r="C8" s="29">
        <v>10.167</v>
      </c>
      <c r="D8" s="29">
        <v>27.36</v>
      </c>
      <c r="E8" s="28">
        <v>1.6</v>
      </c>
    </row>
    <row r="9" spans="1:9" x14ac:dyDescent="0.25">
      <c r="A9" s="28" t="s">
        <v>229</v>
      </c>
      <c r="B9" s="29">
        <v>12.311999999999999</v>
      </c>
      <c r="C9" s="29">
        <v>12.709</v>
      </c>
      <c r="D9" s="29">
        <v>34.200000000000003</v>
      </c>
      <c r="E9" s="28">
        <v>2</v>
      </c>
    </row>
    <row r="10" spans="1:9" x14ac:dyDescent="0.25">
      <c r="A10" s="28" t="s">
        <v>230</v>
      </c>
      <c r="B10" s="29">
        <v>15.39</v>
      </c>
      <c r="C10" s="29">
        <v>15.885999999999999</v>
      </c>
      <c r="D10" s="29">
        <v>42.75</v>
      </c>
      <c r="E10" s="28">
        <v>2.5</v>
      </c>
    </row>
    <row r="11" spans="1:9" x14ac:dyDescent="0.25">
      <c r="A11" s="28" t="s">
        <v>231</v>
      </c>
      <c r="B11" s="29">
        <v>18.468</v>
      </c>
      <c r="C11" s="29">
        <v>19.064</v>
      </c>
      <c r="D11" s="29">
        <v>51.3</v>
      </c>
      <c r="E11" s="28">
        <v>3</v>
      </c>
    </row>
    <row r="12" spans="1:9" x14ac:dyDescent="0.25">
      <c r="A12" s="28" t="s">
        <v>232</v>
      </c>
      <c r="B12" s="29">
        <v>29.318000000000001</v>
      </c>
      <c r="C12" s="29">
        <v>30.263999999999999</v>
      </c>
      <c r="D12" s="29">
        <v>81.438999999999993</v>
      </c>
      <c r="E12" s="28">
        <v>4.76</v>
      </c>
      <c r="H12" s="30"/>
      <c r="I12" s="30"/>
    </row>
    <row r="13" spans="1:9" x14ac:dyDescent="0.25">
      <c r="A13" s="28" t="s">
        <v>233</v>
      </c>
      <c r="B13" s="29">
        <v>39.091000000000001</v>
      </c>
      <c r="C13" s="29">
        <v>40.351999999999997</v>
      </c>
      <c r="D13" s="29">
        <v>108.58499999999999</v>
      </c>
      <c r="E13" s="28">
        <v>6.35</v>
      </c>
      <c r="H13" s="28"/>
      <c r="I13" s="28"/>
    </row>
    <row r="14" spans="1:9" x14ac:dyDescent="0.25">
      <c r="A14" s="28" t="s">
        <v>234</v>
      </c>
      <c r="B14" s="29">
        <v>48.863</v>
      </c>
      <c r="C14" s="29">
        <v>50.439</v>
      </c>
      <c r="D14" s="29" t="s">
        <v>106</v>
      </c>
      <c r="E14" s="28">
        <v>7.94</v>
      </c>
      <c r="H14" s="28"/>
      <c r="I14" s="28"/>
    </row>
    <row r="15" spans="1:9" x14ac:dyDescent="0.25">
      <c r="A15" s="28" t="s">
        <v>235</v>
      </c>
      <c r="B15" s="29">
        <v>58.636000000000003</v>
      </c>
      <c r="C15" s="29">
        <v>60.527000000000001</v>
      </c>
      <c r="D15" s="29" t="s">
        <v>106</v>
      </c>
      <c r="E15" s="28">
        <v>9.5299999999999994</v>
      </c>
      <c r="H15" s="28"/>
      <c r="I15" s="28"/>
    </row>
    <row r="16" spans="1:9" x14ac:dyDescent="0.25">
      <c r="A16" s="28" t="s">
        <v>236</v>
      </c>
      <c r="B16" s="29">
        <v>78.180999999999997</v>
      </c>
      <c r="C16" s="29">
        <v>80.703000000000003</v>
      </c>
      <c r="D16" s="29" t="s">
        <v>106</v>
      </c>
      <c r="E16" s="28">
        <v>12.7</v>
      </c>
      <c r="H16" s="28"/>
      <c r="I16" s="28"/>
    </row>
    <row r="17" spans="1:9" x14ac:dyDescent="0.25">
      <c r="A17" s="28" t="s">
        <v>237</v>
      </c>
      <c r="B17" s="29">
        <v>97.727000000000004</v>
      </c>
      <c r="C17" s="29">
        <v>100.879</v>
      </c>
      <c r="D17" s="29" t="s">
        <v>106</v>
      </c>
      <c r="E17" s="28">
        <v>15.88</v>
      </c>
      <c r="H17" s="28"/>
      <c r="I17" s="28"/>
    </row>
    <row r="18" spans="1:9" x14ac:dyDescent="0.25">
      <c r="A18" s="28" t="s">
        <v>238</v>
      </c>
      <c r="B18" s="29">
        <v>117.27200000000001</v>
      </c>
      <c r="C18" s="29">
        <v>121.05500000000001</v>
      </c>
      <c r="D18" s="29" t="s">
        <v>106</v>
      </c>
      <c r="E18" s="28">
        <v>19.05</v>
      </c>
      <c r="H18" s="28"/>
      <c r="I18" s="28"/>
    </row>
    <row r="19" spans="1:9" x14ac:dyDescent="0.25">
      <c r="A19" s="28" t="s">
        <v>239</v>
      </c>
      <c r="B19" s="29">
        <v>156.36199999999999</v>
      </c>
      <c r="C19" s="29">
        <v>161.40600000000001</v>
      </c>
      <c r="D19" s="29" t="s">
        <v>106</v>
      </c>
      <c r="E19" s="28">
        <v>25.4</v>
      </c>
      <c r="H19" s="28"/>
      <c r="I19" s="28"/>
    </row>
    <row r="20" spans="1:9" x14ac:dyDescent="0.25">
      <c r="A20" s="28" t="s">
        <v>240</v>
      </c>
      <c r="B20" s="29">
        <v>195.453</v>
      </c>
      <c r="C20" s="29">
        <v>201.75800000000001</v>
      </c>
      <c r="D20" s="29" t="s">
        <v>106</v>
      </c>
      <c r="E20" s="28">
        <v>31.75</v>
      </c>
      <c r="H20" s="28"/>
      <c r="I20" s="28"/>
    </row>
    <row r="21" spans="1:9" x14ac:dyDescent="0.25">
      <c r="A21" s="28" t="s">
        <v>241</v>
      </c>
      <c r="B21" s="29">
        <v>234.54400000000001</v>
      </c>
      <c r="C21" s="29">
        <v>242.10900000000001</v>
      </c>
      <c r="D21" s="29" t="s">
        <v>106</v>
      </c>
      <c r="E21" s="28">
        <v>38.1</v>
      </c>
      <c r="H21" s="28"/>
      <c r="I21" s="28"/>
    </row>
    <row r="22" spans="1:9" x14ac:dyDescent="0.25">
      <c r="A22" s="28" t="s">
        <v>242</v>
      </c>
      <c r="B22" s="29">
        <v>273.63400000000001</v>
      </c>
      <c r="C22" s="29">
        <v>282.46100000000001</v>
      </c>
      <c r="D22" s="29" t="s">
        <v>106</v>
      </c>
      <c r="E22" s="28">
        <v>44.45</v>
      </c>
      <c r="H22" s="28"/>
      <c r="I22" s="28"/>
    </row>
    <row r="23" spans="1:9" x14ac:dyDescent="0.25">
      <c r="A23" s="28" t="s">
        <v>243</v>
      </c>
      <c r="B23" s="29">
        <v>312.72500000000002</v>
      </c>
      <c r="C23" s="29">
        <v>322.81200000000001</v>
      </c>
      <c r="D23" s="29" t="s">
        <v>106</v>
      </c>
      <c r="E23" s="28">
        <v>50.8</v>
      </c>
      <c r="H23" s="28"/>
      <c r="I23" s="28"/>
    </row>
    <row r="24" spans="1:9" x14ac:dyDescent="0.25">
      <c r="H24" s="28"/>
      <c r="I24" s="28"/>
    </row>
  </sheetData>
  <mergeCells count="3">
    <mergeCell ref="A1:A2"/>
    <mergeCell ref="B1:D1"/>
    <mergeCell ref="E1:E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E68A0-5EFC-4110-91B5-E4FA19342404}">
  <dimension ref="A1:I20"/>
  <sheetViews>
    <sheetView workbookViewId="0">
      <selection activeCell="H31" sqref="H31"/>
    </sheetView>
  </sheetViews>
  <sheetFormatPr defaultRowHeight="15" x14ac:dyDescent="0.25"/>
  <cols>
    <col min="1" max="1" width="10.85546875" customWidth="1"/>
    <col min="2" max="2" width="8" bestFit="1" customWidth="1"/>
  </cols>
  <sheetData>
    <row r="1" spans="1:9" ht="75.75" thickBot="1" x14ac:dyDescent="0.3">
      <c r="A1" s="21" t="s">
        <v>154</v>
      </c>
      <c r="B1" s="21" t="s">
        <v>155</v>
      </c>
      <c r="C1" s="21" t="s">
        <v>156</v>
      </c>
      <c r="D1" s="21" t="s">
        <v>157</v>
      </c>
      <c r="E1" s="21" t="s">
        <v>158</v>
      </c>
      <c r="F1" s="21" t="s">
        <v>159</v>
      </c>
      <c r="G1" s="21" t="s">
        <v>160</v>
      </c>
      <c r="H1" s="21" t="s">
        <v>161</v>
      </c>
      <c r="I1" s="21" t="s">
        <v>162</v>
      </c>
    </row>
    <row r="2" spans="1:9" ht="15.75" thickBot="1" x14ac:dyDescent="0.3">
      <c r="A2" s="23">
        <v>46235</v>
      </c>
      <c r="B2" s="22" t="s">
        <v>163</v>
      </c>
      <c r="C2" s="22">
        <v>0.125</v>
      </c>
      <c r="D2" s="22">
        <v>3.18</v>
      </c>
      <c r="E2" s="22">
        <v>6.5000000000000002E-2</v>
      </c>
      <c r="F2" s="22">
        <v>1.65</v>
      </c>
      <c r="G2" s="22">
        <v>0.03</v>
      </c>
      <c r="H2" s="22">
        <v>0.76200000000000001</v>
      </c>
      <c r="I2" s="22">
        <v>3.3E-3</v>
      </c>
    </row>
    <row r="3" spans="1:9" ht="15.75" thickBot="1" x14ac:dyDescent="0.3">
      <c r="A3" s="24">
        <v>42430</v>
      </c>
      <c r="B3" s="22" t="s">
        <v>163</v>
      </c>
      <c r="C3" s="22">
        <v>0.187</v>
      </c>
      <c r="D3" s="22">
        <v>4.75</v>
      </c>
      <c r="E3" s="22">
        <v>0.128</v>
      </c>
      <c r="F3" s="22">
        <v>3.25</v>
      </c>
      <c r="G3" s="22">
        <v>0.03</v>
      </c>
      <c r="H3" s="22">
        <v>0.76200000000000001</v>
      </c>
      <c r="I3" s="22">
        <v>1.29E-2</v>
      </c>
    </row>
    <row r="4" spans="1:9" ht="15.75" thickBot="1" x14ac:dyDescent="0.3">
      <c r="A4" s="23">
        <v>46113</v>
      </c>
      <c r="B4" s="22" t="s">
        <v>163</v>
      </c>
      <c r="C4" s="22">
        <v>0.25</v>
      </c>
      <c r="D4" s="22">
        <v>6.35</v>
      </c>
      <c r="E4" s="22">
        <v>0.19</v>
      </c>
      <c r="F4" s="22">
        <v>4.83</v>
      </c>
      <c r="G4" s="22">
        <v>0.03</v>
      </c>
      <c r="H4" s="22">
        <v>0.76200000000000001</v>
      </c>
      <c r="I4" s="22">
        <v>2.8400000000000002E-2</v>
      </c>
    </row>
    <row r="5" spans="1:9" ht="15.75" thickBot="1" x14ac:dyDescent="0.3">
      <c r="A5" s="24">
        <v>42491</v>
      </c>
      <c r="B5" s="22" t="s">
        <v>163</v>
      </c>
      <c r="C5" s="22">
        <v>0.312</v>
      </c>
      <c r="D5" s="22">
        <v>7.92</v>
      </c>
      <c r="E5" s="22">
        <v>0.248</v>
      </c>
      <c r="F5" s="22">
        <v>6.3</v>
      </c>
      <c r="G5" s="22">
        <v>3.2000000000000001E-2</v>
      </c>
      <c r="H5" s="22">
        <v>0.81299999999999994</v>
      </c>
      <c r="I5" s="22">
        <v>4.8300000000000003E-2</v>
      </c>
    </row>
    <row r="6" spans="1:9" ht="15.75" thickBot="1" x14ac:dyDescent="0.3">
      <c r="A6" s="23">
        <v>46237</v>
      </c>
      <c r="B6" s="22" t="s">
        <v>163</v>
      </c>
      <c r="C6" s="22">
        <v>0.375</v>
      </c>
      <c r="D6" s="22">
        <v>9.52</v>
      </c>
      <c r="E6" s="22">
        <v>0.311</v>
      </c>
      <c r="F6" s="22">
        <v>7.9</v>
      </c>
      <c r="G6" s="22">
        <v>3.2000000000000001E-2</v>
      </c>
      <c r="H6" s="22">
        <v>0.81299999999999994</v>
      </c>
      <c r="I6" s="22">
        <v>7.5999999999999998E-2</v>
      </c>
    </row>
    <row r="7" spans="1:9" ht="15.75" thickBot="1" x14ac:dyDescent="0.3">
      <c r="A7" s="25"/>
      <c r="B7" s="22" t="s">
        <v>164</v>
      </c>
      <c r="C7" s="22">
        <v>0.375</v>
      </c>
      <c r="D7" s="22">
        <v>9.52</v>
      </c>
      <c r="E7" s="22">
        <v>0.315</v>
      </c>
      <c r="F7" s="22">
        <v>8</v>
      </c>
      <c r="G7" s="22">
        <v>0.03</v>
      </c>
      <c r="H7" s="22">
        <v>0.76200000000000001</v>
      </c>
      <c r="I7" s="22">
        <v>7.8E-2</v>
      </c>
    </row>
    <row r="8" spans="1:9" ht="15.75" thickBot="1" x14ac:dyDescent="0.3">
      <c r="A8" s="23">
        <v>46054</v>
      </c>
      <c r="B8" s="22" t="s">
        <v>163</v>
      </c>
      <c r="C8" s="22">
        <v>0.5</v>
      </c>
      <c r="D8" s="22">
        <v>12.7</v>
      </c>
      <c r="E8" s="22">
        <v>0.436</v>
      </c>
      <c r="F8" s="22">
        <v>11.1</v>
      </c>
      <c r="G8" s="22">
        <v>3.2000000000000001E-2</v>
      </c>
      <c r="H8" s="22">
        <v>0.81299999999999994</v>
      </c>
      <c r="I8" s="22">
        <v>0.14899999999999999</v>
      </c>
    </row>
    <row r="9" spans="1:9" ht="15.75" thickBot="1" x14ac:dyDescent="0.3">
      <c r="A9" s="25"/>
      <c r="B9" s="22" t="s">
        <v>164</v>
      </c>
      <c r="C9" s="22">
        <v>0.5</v>
      </c>
      <c r="D9" s="22">
        <v>12.7</v>
      </c>
      <c r="E9" s="22">
        <v>0.43</v>
      </c>
      <c r="F9" s="22">
        <v>10.9</v>
      </c>
      <c r="G9" s="22">
        <v>3.5000000000000003E-2</v>
      </c>
      <c r="H9" s="22">
        <v>0.88900000000000001</v>
      </c>
      <c r="I9" s="22">
        <v>0.14499999999999999</v>
      </c>
    </row>
    <row r="10" spans="1:9" ht="15.75" thickBot="1" x14ac:dyDescent="0.3">
      <c r="A10" s="23">
        <v>46239</v>
      </c>
      <c r="B10" s="22" t="s">
        <v>163</v>
      </c>
      <c r="C10" s="22">
        <v>0.625</v>
      </c>
      <c r="D10" s="22">
        <v>15.9</v>
      </c>
      <c r="E10" s="22">
        <v>0.55500000000000005</v>
      </c>
      <c r="F10" s="22">
        <v>14.1</v>
      </c>
      <c r="G10" s="22">
        <v>3.5000000000000003E-2</v>
      </c>
      <c r="H10" s="22">
        <v>0.88900000000000001</v>
      </c>
      <c r="I10" s="22">
        <v>0.24199999999999999</v>
      </c>
    </row>
    <row r="11" spans="1:9" ht="15.75" thickBot="1" x14ac:dyDescent="0.3">
      <c r="A11" s="25"/>
      <c r="B11" s="22" t="s">
        <v>164</v>
      </c>
      <c r="C11" s="22">
        <v>0.625</v>
      </c>
      <c r="D11" s="22">
        <v>15.9</v>
      </c>
      <c r="E11" s="22">
        <v>0.54500000000000004</v>
      </c>
      <c r="F11" s="22">
        <v>13.8</v>
      </c>
      <c r="G11" s="22">
        <v>0.04</v>
      </c>
      <c r="H11" s="22">
        <v>1.02</v>
      </c>
      <c r="I11" s="22">
        <v>0.23300000000000001</v>
      </c>
    </row>
    <row r="12" spans="1:9" ht="15.75" thickBot="1" x14ac:dyDescent="0.3">
      <c r="A12" s="23">
        <v>46115</v>
      </c>
      <c r="B12" s="22" t="s">
        <v>163</v>
      </c>
      <c r="C12" s="22">
        <v>0.75</v>
      </c>
      <c r="D12" s="22">
        <v>19</v>
      </c>
      <c r="E12" s="22">
        <v>0.68</v>
      </c>
      <c r="F12" s="22">
        <v>17.3</v>
      </c>
      <c r="G12" s="22">
        <v>3.5000000000000003E-2</v>
      </c>
      <c r="H12" s="22">
        <v>0.88900000000000001</v>
      </c>
      <c r="I12" s="22">
        <v>0.36299999999999999</v>
      </c>
    </row>
    <row r="13" spans="1:9" ht="15.75" thickBot="1" x14ac:dyDescent="0.3">
      <c r="A13" s="25"/>
      <c r="B13" s="22" t="s">
        <v>163</v>
      </c>
      <c r="C13" s="22">
        <v>0.75</v>
      </c>
      <c r="D13" s="22">
        <v>19</v>
      </c>
      <c r="E13" s="22">
        <v>0.66600000000000004</v>
      </c>
      <c r="F13" s="22">
        <v>16.899999999999999</v>
      </c>
      <c r="G13" s="22">
        <v>4.2000000000000003E-2</v>
      </c>
      <c r="H13" s="22">
        <v>1.07</v>
      </c>
      <c r="I13" s="22">
        <v>0.34799999999999998</v>
      </c>
    </row>
    <row r="14" spans="1:9" ht="15.75" thickBot="1" x14ac:dyDescent="0.3">
      <c r="A14" s="25"/>
      <c r="B14" s="22" t="s">
        <v>164</v>
      </c>
      <c r="C14" s="22">
        <v>0.75</v>
      </c>
      <c r="D14" s="22">
        <v>19</v>
      </c>
      <c r="E14" s="22">
        <v>0.66600000000000004</v>
      </c>
      <c r="F14" s="22">
        <v>16.899999999999999</v>
      </c>
      <c r="G14" s="22">
        <v>4.2000000000000003E-2</v>
      </c>
      <c r="H14" s="22">
        <v>1.07</v>
      </c>
      <c r="I14" s="22">
        <v>0.34799999999999998</v>
      </c>
    </row>
    <row r="15" spans="1:9" ht="15.75" thickBot="1" x14ac:dyDescent="0.3">
      <c r="A15" s="23">
        <v>46241</v>
      </c>
      <c r="B15" s="22" t="s">
        <v>163</v>
      </c>
      <c r="C15" s="22">
        <v>0.875</v>
      </c>
      <c r="D15" s="22">
        <v>22.2</v>
      </c>
      <c r="E15" s="22">
        <v>0.78500000000000003</v>
      </c>
      <c r="F15" s="22">
        <v>19.899999999999999</v>
      </c>
      <c r="G15" s="22">
        <v>4.4999999999999998E-2</v>
      </c>
      <c r="H15" s="22">
        <v>1.1399999999999999</v>
      </c>
      <c r="I15" s="22">
        <v>0.48399999999999999</v>
      </c>
    </row>
    <row r="16" spans="1:9" ht="15.75" thickBot="1" x14ac:dyDescent="0.3">
      <c r="A16" s="25"/>
      <c r="B16" s="22" t="s">
        <v>164</v>
      </c>
      <c r="C16" s="22">
        <v>0.875</v>
      </c>
      <c r="D16" s="22">
        <v>22.2</v>
      </c>
      <c r="E16" s="22">
        <v>0.78500000000000003</v>
      </c>
      <c r="F16" s="22">
        <v>19.899999999999999</v>
      </c>
      <c r="G16" s="22">
        <v>4.4999999999999998E-2</v>
      </c>
      <c r="H16" s="22">
        <v>1.1399999999999999</v>
      </c>
      <c r="I16" s="22">
        <v>0.48399999999999999</v>
      </c>
    </row>
    <row r="17" spans="1:9" ht="15.75" thickBot="1" x14ac:dyDescent="0.3">
      <c r="A17" s="26">
        <v>1.125</v>
      </c>
      <c r="B17" s="22" t="s">
        <v>163</v>
      </c>
      <c r="C17" s="22">
        <v>1.125</v>
      </c>
      <c r="D17" s="22">
        <v>28.6</v>
      </c>
      <c r="E17" s="22">
        <v>1.0249999999999999</v>
      </c>
      <c r="F17" s="22">
        <v>26</v>
      </c>
      <c r="G17" s="22">
        <v>0.05</v>
      </c>
      <c r="H17" s="22">
        <v>1.27</v>
      </c>
      <c r="I17" s="22">
        <v>0.82499999999999996</v>
      </c>
    </row>
    <row r="18" spans="1:9" ht="15.75" thickBot="1" x14ac:dyDescent="0.3">
      <c r="A18" s="25"/>
      <c r="B18" s="22" t="s">
        <v>164</v>
      </c>
      <c r="C18" s="22">
        <v>1.125</v>
      </c>
      <c r="D18" s="22">
        <v>28.6</v>
      </c>
      <c r="E18" s="22">
        <v>1.0249999999999999</v>
      </c>
      <c r="F18" s="22">
        <v>26</v>
      </c>
      <c r="G18" s="22">
        <v>0.05</v>
      </c>
      <c r="H18" s="22">
        <v>1.27</v>
      </c>
      <c r="I18" s="22">
        <v>0.82499999999999996</v>
      </c>
    </row>
    <row r="19" spans="1:9" ht="15.75" thickBot="1" x14ac:dyDescent="0.3">
      <c r="A19" s="26">
        <v>1.375</v>
      </c>
      <c r="B19" s="22" t="s">
        <v>163</v>
      </c>
      <c r="C19" s="22">
        <v>1.375</v>
      </c>
      <c r="D19" s="22">
        <v>34.9</v>
      </c>
      <c r="E19" s="22">
        <v>1.2649999999999999</v>
      </c>
      <c r="F19" s="22">
        <v>32.1</v>
      </c>
      <c r="G19" s="22">
        <v>5.5E-2</v>
      </c>
      <c r="H19" s="22">
        <v>1.41</v>
      </c>
      <c r="I19" s="22">
        <v>1.26</v>
      </c>
    </row>
    <row r="20" spans="1:9" ht="15.75" thickBot="1" x14ac:dyDescent="0.3">
      <c r="A20" s="25"/>
      <c r="B20" s="22" t="s">
        <v>164</v>
      </c>
      <c r="C20" s="22">
        <v>1.375</v>
      </c>
      <c r="D20" s="22">
        <v>34.9</v>
      </c>
      <c r="E20" s="22">
        <v>1.2649999999999999</v>
      </c>
      <c r="F20" s="22">
        <v>32.1</v>
      </c>
      <c r="G20" s="22">
        <v>5.5E-2</v>
      </c>
      <c r="H20" s="22">
        <v>1.41</v>
      </c>
      <c r="I20" s="22">
        <v>1.26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39FE3-986A-4440-A627-94AB699CD40A}">
  <dimension ref="A1:E135"/>
  <sheetViews>
    <sheetView topLeftCell="A23" workbookViewId="0">
      <selection activeCell="A36" sqref="A36"/>
    </sheetView>
  </sheetViews>
  <sheetFormatPr defaultRowHeight="15" x14ac:dyDescent="0.25"/>
  <cols>
    <col min="1" max="1" width="44" customWidth="1"/>
    <col min="2" max="2" width="26" customWidth="1"/>
    <col min="3" max="3" width="21" customWidth="1"/>
    <col min="4" max="4" width="29" customWidth="1"/>
    <col min="5" max="5" width="28.7109375" bestFit="1" customWidth="1"/>
  </cols>
  <sheetData>
    <row r="1" spans="1:5" ht="35.1" customHeight="1" x14ac:dyDescent="0.25">
      <c r="A1" s="79" t="s">
        <v>245</v>
      </c>
      <c r="B1" s="75"/>
      <c r="C1" s="75"/>
      <c r="D1" s="75"/>
    </row>
    <row r="3" spans="1:5" ht="24" customHeight="1" x14ac:dyDescent="0.25">
      <c r="A3" s="32" t="s">
        <v>246</v>
      </c>
      <c r="B3" s="32" t="s">
        <v>247</v>
      </c>
      <c r="C3" s="32" t="s">
        <v>248</v>
      </c>
      <c r="D3" s="32" t="s">
        <v>249</v>
      </c>
      <c r="E3" s="32" t="s">
        <v>275</v>
      </c>
    </row>
    <row r="4" spans="1:5" x14ac:dyDescent="0.25">
      <c r="A4" s="33" t="s">
        <v>250</v>
      </c>
      <c r="B4" s="33" t="s">
        <v>251</v>
      </c>
      <c r="C4" s="34">
        <v>89</v>
      </c>
      <c r="D4" s="35">
        <v>9.6</v>
      </c>
      <c r="E4" s="39">
        <v>34.9</v>
      </c>
    </row>
    <row r="5" spans="1:5" x14ac:dyDescent="0.25">
      <c r="A5" s="36" t="s">
        <v>250</v>
      </c>
      <c r="B5" s="36" t="s">
        <v>252</v>
      </c>
      <c r="C5" s="37">
        <v>99</v>
      </c>
      <c r="D5" s="38">
        <v>11.2</v>
      </c>
      <c r="E5">
        <v>42.9</v>
      </c>
    </row>
    <row r="6" spans="1:5" x14ac:dyDescent="0.25">
      <c r="A6" s="33" t="s">
        <v>250</v>
      </c>
      <c r="B6" s="33" t="s">
        <v>253</v>
      </c>
      <c r="C6" s="34">
        <v>108</v>
      </c>
      <c r="D6" s="35">
        <v>12.7</v>
      </c>
      <c r="E6">
        <v>50.8</v>
      </c>
    </row>
    <row r="7" spans="1:5" x14ac:dyDescent="0.25">
      <c r="A7" s="36" t="s">
        <v>250</v>
      </c>
      <c r="B7" s="36" t="s">
        <v>254</v>
      </c>
      <c r="C7" s="37">
        <v>117</v>
      </c>
      <c r="D7" s="38">
        <v>14.2</v>
      </c>
      <c r="E7">
        <v>63.5</v>
      </c>
    </row>
    <row r="8" spans="1:5" x14ac:dyDescent="0.25">
      <c r="A8" s="33" t="s">
        <v>250</v>
      </c>
      <c r="B8" s="33" t="s">
        <v>255</v>
      </c>
      <c r="C8" s="34">
        <v>127</v>
      </c>
      <c r="D8" s="35">
        <v>15.9</v>
      </c>
      <c r="E8">
        <v>73</v>
      </c>
    </row>
    <row r="9" spans="1:5" x14ac:dyDescent="0.25">
      <c r="A9" s="36" t="s">
        <v>250</v>
      </c>
      <c r="B9" s="36" t="s">
        <v>256</v>
      </c>
      <c r="C9" s="37">
        <v>152</v>
      </c>
      <c r="D9" s="38">
        <v>17.5</v>
      </c>
      <c r="E9">
        <v>92.1</v>
      </c>
    </row>
    <row r="10" spans="1:5" x14ac:dyDescent="0.25">
      <c r="A10" s="33" t="s">
        <v>250</v>
      </c>
      <c r="B10" s="33" t="s">
        <v>257</v>
      </c>
      <c r="C10" s="34">
        <v>178</v>
      </c>
      <c r="D10" s="35">
        <v>20.7</v>
      </c>
      <c r="E10">
        <v>104.8</v>
      </c>
    </row>
    <row r="11" spans="1:5" x14ac:dyDescent="0.25">
      <c r="A11" s="36" t="s">
        <v>250</v>
      </c>
      <c r="B11" s="36" t="s">
        <v>258</v>
      </c>
      <c r="C11" s="37">
        <v>190</v>
      </c>
      <c r="D11" s="38">
        <v>22.4</v>
      </c>
      <c r="E11">
        <v>127</v>
      </c>
    </row>
    <row r="12" spans="1:5" x14ac:dyDescent="0.25">
      <c r="A12" s="33" t="s">
        <v>250</v>
      </c>
      <c r="B12" s="33" t="s">
        <v>259</v>
      </c>
      <c r="C12" s="34">
        <v>216</v>
      </c>
      <c r="D12" s="35">
        <v>22.4</v>
      </c>
      <c r="E12">
        <v>139.69999999999999</v>
      </c>
    </row>
    <row r="13" spans="1:5" x14ac:dyDescent="0.25">
      <c r="A13" s="36" t="s">
        <v>250</v>
      </c>
      <c r="B13" s="36" t="s">
        <v>260</v>
      </c>
      <c r="C13" s="37">
        <v>229</v>
      </c>
      <c r="D13" s="38">
        <v>22.4</v>
      </c>
      <c r="E13">
        <v>157.19999999999999</v>
      </c>
    </row>
    <row r="14" spans="1:5" x14ac:dyDescent="0.25">
      <c r="A14" s="33" t="s">
        <v>250</v>
      </c>
      <c r="B14" s="33" t="s">
        <v>261</v>
      </c>
      <c r="C14" s="34">
        <v>254</v>
      </c>
      <c r="D14" s="35">
        <v>22.4</v>
      </c>
      <c r="E14">
        <v>185.7</v>
      </c>
    </row>
    <row r="15" spans="1:5" x14ac:dyDescent="0.25">
      <c r="A15" s="36" t="s">
        <v>250</v>
      </c>
      <c r="B15" s="36" t="s">
        <v>262</v>
      </c>
      <c r="C15" s="37">
        <v>279</v>
      </c>
      <c r="D15" s="38">
        <v>23.9</v>
      </c>
      <c r="E15">
        <v>215.7</v>
      </c>
    </row>
    <row r="16" spans="1:5" x14ac:dyDescent="0.25">
      <c r="A16" s="33" t="s">
        <v>250</v>
      </c>
      <c r="B16" s="33" t="s">
        <v>263</v>
      </c>
      <c r="C16" s="34">
        <v>343</v>
      </c>
      <c r="D16" s="35">
        <v>26.9</v>
      </c>
      <c r="E16">
        <v>269.7</v>
      </c>
    </row>
    <row r="17" spans="1:5" x14ac:dyDescent="0.25">
      <c r="A17" s="36" t="s">
        <v>250</v>
      </c>
      <c r="B17" s="36" t="s">
        <v>118</v>
      </c>
      <c r="C17" s="37">
        <v>406</v>
      </c>
      <c r="D17" s="38">
        <v>28.4</v>
      </c>
      <c r="E17">
        <v>323.8</v>
      </c>
    </row>
    <row r="18" spans="1:5" x14ac:dyDescent="0.25">
      <c r="A18" s="33" t="s">
        <v>250</v>
      </c>
      <c r="B18" s="33" t="s">
        <v>264</v>
      </c>
      <c r="C18" s="34">
        <v>483</v>
      </c>
      <c r="D18" s="35">
        <v>30.2</v>
      </c>
      <c r="E18">
        <v>381</v>
      </c>
    </row>
    <row r="19" spans="1:5" x14ac:dyDescent="0.25">
      <c r="A19" s="36" t="s">
        <v>250</v>
      </c>
      <c r="B19" s="36" t="s">
        <v>265</v>
      </c>
      <c r="C19" s="37">
        <v>533</v>
      </c>
      <c r="D19" s="38">
        <v>33.299999999999997</v>
      </c>
      <c r="E19">
        <v>412.8</v>
      </c>
    </row>
    <row r="20" spans="1:5" x14ac:dyDescent="0.25">
      <c r="A20" s="33" t="s">
        <v>250</v>
      </c>
      <c r="B20" s="33" t="s">
        <v>266</v>
      </c>
      <c r="C20" s="34">
        <v>597</v>
      </c>
      <c r="D20" s="35">
        <v>35.1</v>
      </c>
      <c r="E20">
        <v>469.9</v>
      </c>
    </row>
    <row r="21" spans="1:5" x14ac:dyDescent="0.25">
      <c r="A21" s="36" t="s">
        <v>250</v>
      </c>
      <c r="B21" s="36" t="s">
        <v>267</v>
      </c>
      <c r="C21" s="37">
        <v>635</v>
      </c>
      <c r="D21" s="38">
        <v>38.1</v>
      </c>
      <c r="E21">
        <v>533.4</v>
      </c>
    </row>
    <row r="22" spans="1:5" x14ac:dyDescent="0.25">
      <c r="A22" s="33" t="s">
        <v>250</v>
      </c>
      <c r="B22" s="33" t="s">
        <v>107</v>
      </c>
      <c r="C22" s="34">
        <v>698</v>
      </c>
      <c r="D22" s="35">
        <v>41.1</v>
      </c>
      <c r="E22">
        <v>584.20000000000005</v>
      </c>
    </row>
    <row r="23" spans="1:5" x14ac:dyDescent="0.25">
      <c r="A23" s="36" t="s">
        <v>250</v>
      </c>
      <c r="B23" s="36" t="s">
        <v>268</v>
      </c>
      <c r="C23" s="37">
        <v>813</v>
      </c>
      <c r="D23" s="38">
        <v>46</v>
      </c>
      <c r="E23">
        <v>692.2</v>
      </c>
    </row>
    <row r="24" spans="1:5" x14ac:dyDescent="0.25">
      <c r="A24" s="33" t="s">
        <v>269</v>
      </c>
      <c r="B24" s="33" t="s">
        <v>251</v>
      </c>
      <c r="C24" s="34">
        <v>95</v>
      </c>
      <c r="D24" s="35">
        <v>12.7</v>
      </c>
      <c r="E24">
        <v>34.9</v>
      </c>
    </row>
    <row r="25" spans="1:5" x14ac:dyDescent="0.25">
      <c r="A25" s="36" t="s">
        <v>269</v>
      </c>
      <c r="B25" s="36" t="s">
        <v>252</v>
      </c>
      <c r="C25" s="37">
        <v>115</v>
      </c>
      <c r="D25" s="38">
        <v>14.3</v>
      </c>
    </row>
    <row r="26" spans="1:5" x14ac:dyDescent="0.25">
      <c r="A26" s="33" t="s">
        <v>269</v>
      </c>
      <c r="B26" s="33" t="s">
        <v>253</v>
      </c>
      <c r="C26" s="34">
        <v>125</v>
      </c>
      <c r="D26" s="35">
        <v>15.9</v>
      </c>
    </row>
    <row r="27" spans="1:5" x14ac:dyDescent="0.25">
      <c r="A27" s="36" t="s">
        <v>269</v>
      </c>
      <c r="B27" s="36" t="s">
        <v>254</v>
      </c>
      <c r="C27" s="37">
        <v>135</v>
      </c>
      <c r="D27" s="38">
        <v>17.5</v>
      </c>
    </row>
    <row r="28" spans="1:5" x14ac:dyDescent="0.25">
      <c r="A28" s="33" t="s">
        <v>269</v>
      </c>
      <c r="B28" s="33" t="s">
        <v>255</v>
      </c>
      <c r="C28" s="34">
        <v>155</v>
      </c>
      <c r="D28" s="35">
        <v>19.100000000000001</v>
      </c>
    </row>
    <row r="29" spans="1:5" x14ac:dyDescent="0.25">
      <c r="A29" s="36" t="s">
        <v>269</v>
      </c>
      <c r="B29" s="36" t="s">
        <v>256</v>
      </c>
      <c r="C29" s="37">
        <v>165</v>
      </c>
      <c r="D29" s="38">
        <v>20.7</v>
      </c>
    </row>
    <row r="30" spans="1:5" x14ac:dyDescent="0.25">
      <c r="A30" s="33" t="s">
        <v>269</v>
      </c>
      <c r="B30" s="33" t="s">
        <v>257</v>
      </c>
      <c r="C30" s="34">
        <v>190</v>
      </c>
      <c r="D30" s="35">
        <v>23.9</v>
      </c>
    </row>
    <row r="31" spans="1:5" x14ac:dyDescent="0.25">
      <c r="A31" s="36" t="s">
        <v>269</v>
      </c>
      <c r="B31" s="36" t="s">
        <v>258</v>
      </c>
      <c r="C31" s="37">
        <v>210</v>
      </c>
      <c r="D31" s="38">
        <v>27</v>
      </c>
    </row>
    <row r="32" spans="1:5" x14ac:dyDescent="0.25">
      <c r="A32" s="33" t="s">
        <v>269</v>
      </c>
      <c r="B32" s="33" t="s">
        <v>259</v>
      </c>
      <c r="C32" s="34">
        <v>230</v>
      </c>
      <c r="D32" s="35">
        <v>28.6</v>
      </c>
    </row>
    <row r="33" spans="1:4" x14ac:dyDescent="0.25">
      <c r="A33" s="36" t="s">
        <v>269</v>
      </c>
      <c r="B33" s="36" t="s">
        <v>260</v>
      </c>
      <c r="C33" s="37">
        <v>255</v>
      </c>
      <c r="D33" s="38">
        <v>30.2</v>
      </c>
    </row>
    <row r="34" spans="1:4" x14ac:dyDescent="0.25">
      <c r="A34" s="33" t="s">
        <v>269</v>
      </c>
      <c r="B34" s="33" t="s">
        <v>261</v>
      </c>
      <c r="C34" s="34">
        <v>280</v>
      </c>
      <c r="D34" s="35">
        <v>33.4</v>
      </c>
    </row>
    <row r="35" spans="1:4" x14ac:dyDescent="0.25">
      <c r="A35" s="36" t="s">
        <v>269</v>
      </c>
      <c r="B35" s="36" t="s">
        <v>262</v>
      </c>
      <c r="C35" s="37">
        <v>320</v>
      </c>
      <c r="D35" s="38">
        <v>35</v>
      </c>
    </row>
    <row r="36" spans="1:4" x14ac:dyDescent="0.25">
      <c r="A36" s="33" t="s">
        <v>269</v>
      </c>
      <c r="B36" s="33" t="s">
        <v>263</v>
      </c>
      <c r="C36" s="34">
        <v>380</v>
      </c>
      <c r="D36" s="35">
        <v>39.700000000000003</v>
      </c>
    </row>
    <row r="37" spans="1:4" x14ac:dyDescent="0.25">
      <c r="A37" s="36" t="s">
        <v>269</v>
      </c>
      <c r="B37" s="36" t="s">
        <v>118</v>
      </c>
      <c r="C37" s="37">
        <v>445</v>
      </c>
      <c r="D37" s="38">
        <v>46.1</v>
      </c>
    </row>
    <row r="38" spans="1:4" x14ac:dyDescent="0.25">
      <c r="A38" s="33" t="s">
        <v>269</v>
      </c>
      <c r="B38" s="33" t="s">
        <v>264</v>
      </c>
      <c r="C38" s="34">
        <v>520</v>
      </c>
      <c r="D38" s="35">
        <v>49.3</v>
      </c>
    </row>
    <row r="39" spans="1:4" x14ac:dyDescent="0.25">
      <c r="A39" s="36" t="s">
        <v>269</v>
      </c>
      <c r="B39" s="36" t="s">
        <v>265</v>
      </c>
      <c r="C39" s="37">
        <v>585</v>
      </c>
      <c r="D39" s="38">
        <v>52.4</v>
      </c>
    </row>
    <row r="40" spans="1:4" x14ac:dyDescent="0.25">
      <c r="A40" s="33" t="s">
        <v>269</v>
      </c>
      <c r="B40" s="33" t="s">
        <v>266</v>
      </c>
      <c r="C40" s="34">
        <v>650</v>
      </c>
      <c r="D40" s="35">
        <v>55.6</v>
      </c>
    </row>
    <row r="41" spans="1:4" x14ac:dyDescent="0.25">
      <c r="A41" s="36" t="s">
        <v>269</v>
      </c>
      <c r="B41" s="36" t="s">
        <v>267</v>
      </c>
      <c r="C41" s="37">
        <v>710</v>
      </c>
      <c r="D41" s="38">
        <v>58.8</v>
      </c>
    </row>
    <row r="42" spans="1:4" x14ac:dyDescent="0.25">
      <c r="A42" s="33" t="s">
        <v>269</v>
      </c>
      <c r="B42" s="33" t="s">
        <v>107</v>
      </c>
      <c r="C42" s="34">
        <v>775</v>
      </c>
      <c r="D42" s="35">
        <v>62</v>
      </c>
    </row>
    <row r="43" spans="1:4" x14ac:dyDescent="0.25">
      <c r="A43" s="36" t="s">
        <v>269</v>
      </c>
      <c r="B43" s="36" t="s">
        <v>268</v>
      </c>
      <c r="C43" s="37">
        <v>915</v>
      </c>
      <c r="D43" s="38">
        <v>68.3</v>
      </c>
    </row>
    <row r="44" spans="1:4" x14ac:dyDescent="0.25">
      <c r="A44" s="33" t="s">
        <v>270</v>
      </c>
      <c r="B44" s="33" t="s">
        <v>251</v>
      </c>
      <c r="C44" s="34">
        <v>95</v>
      </c>
      <c r="D44" s="35">
        <v>14.3</v>
      </c>
    </row>
    <row r="45" spans="1:4" x14ac:dyDescent="0.25">
      <c r="A45" s="36" t="s">
        <v>270</v>
      </c>
      <c r="B45" s="36" t="s">
        <v>252</v>
      </c>
      <c r="C45" s="37">
        <v>115</v>
      </c>
      <c r="D45" s="38">
        <v>15.9</v>
      </c>
    </row>
    <row r="46" spans="1:4" x14ac:dyDescent="0.25">
      <c r="A46" s="33" t="s">
        <v>270</v>
      </c>
      <c r="B46" s="33" t="s">
        <v>253</v>
      </c>
      <c r="C46" s="34">
        <v>125</v>
      </c>
      <c r="D46" s="35">
        <v>17.5</v>
      </c>
    </row>
    <row r="47" spans="1:4" x14ac:dyDescent="0.25">
      <c r="A47" s="36" t="s">
        <v>270</v>
      </c>
      <c r="B47" s="36" t="s">
        <v>254</v>
      </c>
      <c r="C47" s="37">
        <v>135</v>
      </c>
      <c r="D47" s="38">
        <v>20.7</v>
      </c>
    </row>
    <row r="48" spans="1:4" x14ac:dyDescent="0.25">
      <c r="A48" s="33" t="s">
        <v>270</v>
      </c>
      <c r="B48" s="33" t="s">
        <v>255</v>
      </c>
      <c r="C48" s="34">
        <v>155</v>
      </c>
      <c r="D48" s="35">
        <v>22.3</v>
      </c>
    </row>
    <row r="49" spans="1:4" x14ac:dyDescent="0.25">
      <c r="A49" s="36" t="s">
        <v>270</v>
      </c>
      <c r="B49" s="36" t="s">
        <v>256</v>
      </c>
      <c r="C49" s="37">
        <v>165</v>
      </c>
      <c r="D49" s="38">
        <v>25.4</v>
      </c>
    </row>
    <row r="50" spans="1:4" x14ac:dyDescent="0.25">
      <c r="A50" s="33" t="s">
        <v>270</v>
      </c>
      <c r="B50" s="33" t="s">
        <v>257</v>
      </c>
      <c r="C50" s="34">
        <v>190</v>
      </c>
      <c r="D50" s="35">
        <v>28.6</v>
      </c>
    </row>
    <row r="51" spans="1:4" x14ac:dyDescent="0.25">
      <c r="A51" s="36" t="s">
        <v>270</v>
      </c>
      <c r="B51" s="36" t="s">
        <v>258</v>
      </c>
      <c r="C51" s="37">
        <v>210</v>
      </c>
      <c r="D51" s="38">
        <v>31.8</v>
      </c>
    </row>
    <row r="52" spans="1:4" x14ac:dyDescent="0.25">
      <c r="A52" s="33" t="s">
        <v>270</v>
      </c>
      <c r="B52" s="33" t="s">
        <v>259</v>
      </c>
      <c r="C52" s="34">
        <v>230</v>
      </c>
      <c r="D52" s="35">
        <v>35</v>
      </c>
    </row>
    <row r="53" spans="1:4" x14ac:dyDescent="0.25">
      <c r="A53" s="36" t="s">
        <v>270</v>
      </c>
      <c r="B53" s="36" t="s">
        <v>260</v>
      </c>
      <c r="C53" s="37">
        <v>255</v>
      </c>
      <c r="D53" s="38">
        <v>35</v>
      </c>
    </row>
    <row r="54" spans="1:4" x14ac:dyDescent="0.25">
      <c r="A54" s="33" t="s">
        <v>270</v>
      </c>
      <c r="B54" s="33" t="s">
        <v>261</v>
      </c>
      <c r="C54" s="34">
        <v>280</v>
      </c>
      <c r="D54" s="35">
        <v>38.1</v>
      </c>
    </row>
    <row r="55" spans="1:4" x14ac:dyDescent="0.25">
      <c r="A55" s="36" t="s">
        <v>270</v>
      </c>
      <c r="B55" s="36" t="s">
        <v>262</v>
      </c>
      <c r="C55" s="37">
        <v>320</v>
      </c>
      <c r="D55" s="38">
        <v>41.3</v>
      </c>
    </row>
    <row r="56" spans="1:4" x14ac:dyDescent="0.25">
      <c r="A56" s="33" t="s">
        <v>270</v>
      </c>
      <c r="B56" s="33" t="s">
        <v>263</v>
      </c>
      <c r="C56" s="34">
        <v>380</v>
      </c>
      <c r="D56" s="35">
        <v>47.7</v>
      </c>
    </row>
    <row r="57" spans="1:4" x14ac:dyDescent="0.25">
      <c r="A57" s="36" t="s">
        <v>270</v>
      </c>
      <c r="B57" s="36" t="s">
        <v>118</v>
      </c>
      <c r="C57" s="37">
        <v>445</v>
      </c>
      <c r="D57" s="38">
        <v>54</v>
      </c>
    </row>
    <row r="58" spans="1:4" x14ac:dyDescent="0.25">
      <c r="A58" s="33" t="s">
        <v>270</v>
      </c>
      <c r="B58" s="33" t="s">
        <v>264</v>
      </c>
      <c r="C58" s="34">
        <v>520</v>
      </c>
      <c r="D58" s="35">
        <v>57.2</v>
      </c>
    </row>
    <row r="59" spans="1:4" x14ac:dyDescent="0.25">
      <c r="A59" s="36" t="s">
        <v>270</v>
      </c>
      <c r="B59" s="36" t="s">
        <v>265</v>
      </c>
      <c r="C59" s="37">
        <v>585</v>
      </c>
      <c r="D59" s="38">
        <v>60.4</v>
      </c>
    </row>
    <row r="60" spans="1:4" x14ac:dyDescent="0.25">
      <c r="A60" s="33" t="s">
        <v>270</v>
      </c>
      <c r="B60" s="33" t="s">
        <v>266</v>
      </c>
      <c r="C60" s="34">
        <v>650</v>
      </c>
      <c r="D60" s="35">
        <v>63.5</v>
      </c>
    </row>
    <row r="61" spans="1:4" x14ac:dyDescent="0.25">
      <c r="A61" s="36" t="s">
        <v>270</v>
      </c>
      <c r="B61" s="36" t="s">
        <v>267</v>
      </c>
      <c r="C61" s="37">
        <v>710</v>
      </c>
      <c r="D61" s="38">
        <v>66.7</v>
      </c>
    </row>
    <row r="62" spans="1:4" x14ac:dyDescent="0.25">
      <c r="A62" s="33" t="s">
        <v>270</v>
      </c>
      <c r="B62" s="33" t="s">
        <v>107</v>
      </c>
      <c r="C62" s="34">
        <v>775</v>
      </c>
      <c r="D62" s="35">
        <v>69.900000000000006</v>
      </c>
    </row>
    <row r="63" spans="1:4" x14ac:dyDescent="0.25">
      <c r="A63" s="36" t="s">
        <v>270</v>
      </c>
      <c r="B63" s="36" t="s">
        <v>268</v>
      </c>
      <c r="C63" s="37">
        <v>915</v>
      </c>
      <c r="D63" s="38">
        <v>76.2</v>
      </c>
    </row>
    <row r="64" spans="1:4" x14ac:dyDescent="0.25">
      <c r="A64" s="33" t="s">
        <v>271</v>
      </c>
      <c r="B64" s="33" t="s">
        <v>251</v>
      </c>
      <c r="C64" s="34">
        <v>95</v>
      </c>
      <c r="D64" s="35">
        <v>14.3</v>
      </c>
    </row>
    <row r="65" spans="1:4" x14ac:dyDescent="0.25">
      <c r="A65" s="36" t="s">
        <v>271</v>
      </c>
      <c r="B65" s="36" t="s">
        <v>252</v>
      </c>
      <c r="C65" s="37">
        <v>115</v>
      </c>
      <c r="D65" s="38">
        <v>15.9</v>
      </c>
    </row>
    <row r="66" spans="1:4" x14ac:dyDescent="0.25">
      <c r="A66" s="33" t="s">
        <v>271</v>
      </c>
      <c r="B66" s="33" t="s">
        <v>253</v>
      </c>
      <c r="C66" s="34">
        <v>125</v>
      </c>
      <c r="D66" s="35">
        <v>17.5</v>
      </c>
    </row>
    <row r="67" spans="1:4" x14ac:dyDescent="0.25">
      <c r="A67" s="36" t="s">
        <v>271</v>
      </c>
      <c r="B67" s="36" t="s">
        <v>254</v>
      </c>
      <c r="C67" s="37">
        <v>135</v>
      </c>
      <c r="D67" s="38">
        <v>20.7</v>
      </c>
    </row>
    <row r="68" spans="1:4" x14ac:dyDescent="0.25">
      <c r="A68" s="33" t="s">
        <v>271</v>
      </c>
      <c r="B68" s="33" t="s">
        <v>255</v>
      </c>
      <c r="C68" s="34">
        <v>155</v>
      </c>
      <c r="D68" s="35">
        <v>22.3</v>
      </c>
    </row>
    <row r="69" spans="1:4" x14ac:dyDescent="0.25">
      <c r="A69" s="36" t="s">
        <v>271</v>
      </c>
      <c r="B69" s="36" t="s">
        <v>256</v>
      </c>
      <c r="C69" s="37">
        <v>165</v>
      </c>
      <c r="D69" s="38">
        <v>25.4</v>
      </c>
    </row>
    <row r="70" spans="1:4" x14ac:dyDescent="0.25">
      <c r="A70" s="33" t="s">
        <v>271</v>
      </c>
      <c r="B70" s="33" t="s">
        <v>257</v>
      </c>
      <c r="C70" s="34">
        <v>190</v>
      </c>
      <c r="D70" s="35">
        <v>28.6</v>
      </c>
    </row>
    <row r="71" spans="1:4" x14ac:dyDescent="0.25">
      <c r="A71" s="36" t="s">
        <v>271</v>
      </c>
      <c r="B71" s="36" t="s">
        <v>258</v>
      </c>
      <c r="C71" s="37">
        <v>210</v>
      </c>
      <c r="D71" s="38">
        <v>31.8</v>
      </c>
    </row>
    <row r="72" spans="1:4" x14ac:dyDescent="0.25">
      <c r="A72" s="33" t="s">
        <v>271</v>
      </c>
      <c r="B72" s="33" t="s">
        <v>259</v>
      </c>
      <c r="C72" s="34">
        <v>230</v>
      </c>
      <c r="D72" s="35">
        <v>35</v>
      </c>
    </row>
    <row r="73" spans="1:4" x14ac:dyDescent="0.25">
      <c r="A73" s="36" t="s">
        <v>271</v>
      </c>
      <c r="B73" s="36" t="s">
        <v>260</v>
      </c>
      <c r="C73" s="37">
        <v>275</v>
      </c>
      <c r="D73" s="38">
        <v>38.1</v>
      </c>
    </row>
    <row r="74" spans="1:4" x14ac:dyDescent="0.25">
      <c r="A74" s="33" t="s">
        <v>271</v>
      </c>
      <c r="B74" s="33" t="s">
        <v>261</v>
      </c>
      <c r="C74" s="34">
        <v>330</v>
      </c>
      <c r="D74" s="35">
        <v>44.5</v>
      </c>
    </row>
    <row r="75" spans="1:4" x14ac:dyDescent="0.25">
      <c r="A75" s="36" t="s">
        <v>271</v>
      </c>
      <c r="B75" s="36" t="s">
        <v>262</v>
      </c>
      <c r="C75" s="37">
        <v>355</v>
      </c>
      <c r="D75" s="38">
        <v>47.7</v>
      </c>
    </row>
    <row r="76" spans="1:4" x14ac:dyDescent="0.25">
      <c r="A76" s="33" t="s">
        <v>271</v>
      </c>
      <c r="B76" s="33" t="s">
        <v>263</v>
      </c>
      <c r="C76" s="34">
        <v>420</v>
      </c>
      <c r="D76" s="35">
        <v>55.6</v>
      </c>
    </row>
    <row r="77" spans="1:4" x14ac:dyDescent="0.25">
      <c r="A77" s="36" t="s">
        <v>271</v>
      </c>
      <c r="B77" s="36" t="s">
        <v>118</v>
      </c>
      <c r="C77" s="37">
        <v>510</v>
      </c>
      <c r="D77" s="38">
        <v>63.5</v>
      </c>
    </row>
    <row r="78" spans="1:4" x14ac:dyDescent="0.25">
      <c r="A78" s="33" t="s">
        <v>271</v>
      </c>
      <c r="B78" s="33" t="s">
        <v>264</v>
      </c>
      <c r="C78" s="34">
        <v>560</v>
      </c>
      <c r="D78" s="35">
        <v>66.7</v>
      </c>
    </row>
    <row r="79" spans="1:4" x14ac:dyDescent="0.25">
      <c r="A79" s="36" t="s">
        <v>271</v>
      </c>
      <c r="B79" s="36" t="s">
        <v>265</v>
      </c>
      <c r="C79" s="37">
        <v>605</v>
      </c>
      <c r="D79" s="38">
        <v>69.900000000000006</v>
      </c>
    </row>
    <row r="80" spans="1:4" x14ac:dyDescent="0.25">
      <c r="A80" s="33" t="s">
        <v>271</v>
      </c>
      <c r="B80" s="33" t="s">
        <v>266</v>
      </c>
      <c r="C80" s="34">
        <v>685</v>
      </c>
      <c r="D80" s="35">
        <v>76.2</v>
      </c>
    </row>
    <row r="81" spans="1:4" x14ac:dyDescent="0.25">
      <c r="A81" s="36" t="s">
        <v>271</v>
      </c>
      <c r="B81" s="36" t="s">
        <v>267</v>
      </c>
      <c r="C81" s="37">
        <v>745</v>
      </c>
      <c r="D81" s="38">
        <v>82.6</v>
      </c>
    </row>
    <row r="82" spans="1:4" x14ac:dyDescent="0.25">
      <c r="A82" s="33" t="s">
        <v>271</v>
      </c>
      <c r="B82" s="33" t="s">
        <v>107</v>
      </c>
      <c r="C82" s="34">
        <v>815</v>
      </c>
      <c r="D82" s="35">
        <v>88.9</v>
      </c>
    </row>
    <row r="83" spans="1:4" x14ac:dyDescent="0.25">
      <c r="A83" s="36" t="s">
        <v>271</v>
      </c>
      <c r="B83" s="36" t="s">
        <v>268</v>
      </c>
      <c r="C83" s="37">
        <v>940</v>
      </c>
      <c r="D83" s="38">
        <v>101.6</v>
      </c>
    </row>
    <row r="84" spans="1:4" x14ac:dyDescent="0.25">
      <c r="A84" s="33" t="s">
        <v>272</v>
      </c>
      <c r="B84" s="33" t="s">
        <v>251</v>
      </c>
      <c r="C84" s="34">
        <v>120</v>
      </c>
      <c r="D84" s="35">
        <v>22.3</v>
      </c>
    </row>
    <row r="85" spans="1:4" x14ac:dyDescent="0.25">
      <c r="A85" s="36" t="s">
        <v>272</v>
      </c>
      <c r="B85" s="36" t="s">
        <v>252</v>
      </c>
      <c r="C85" s="37">
        <v>130</v>
      </c>
      <c r="D85" s="38">
        <v>25.4</v>
      </c>
    </row>
    <row r="86" spans="1:4" x14ac:dyDescent="0.25">
      <c r="A86" s="33" t="s">
        <v>272</v>
      </c>
      <c r="B86" s="33" t="s">
        <v>253</v>
      </c>
      <c r="C86" s="34">
        <v>150</v>
      </c>
      <c r="D86" s="35">
        <v>28.6</v>
      </c>
    </row>
    <row r="87" spans="1:4" x14ac:dyDescent="0.25">
      <c r="A87" s="36" t="s">
        <v>272</v>
      </c>
      <c r="B87" s="36" t="s">
        <v>254</v>
      </c>
      <c r="C87" s="37">
        <v>160</v>
      </c>
      <c r="D87" s="38">
        <v>28.6</v>
      </c>
    </row>
    <row r="88" spans="1:4" x14ac:dyDescent="0.25">
      <c r="A88" s="33" t="s">
        <v>272</v>
      </c>
      <c r="B88" s="33" t="s">
        <v>255</v>
      </c>
      <c r="C88" s="34">
        <v>180</v>
      </c>
      <c r="D88" s="35">
        <v>31.8</v>
      </c>
    </row>
    <row r="89" spans="1:4" x14ac:dyDescent="0.25">
      <c r="A89" s="36" t="s">
        <v>272</v>
      </c>
      <c r="B89" s="36" t="s">
        <v>256</v>
      </c>
      <c r="C89" s="37">
        <v>215</v>
      </c>
      <c r="D89" s="38">
        <v>38.1</v>
      </c>
    </row>
    <row r="90" spans="1:4" x14ac:dyDescent="0.25">
      <c r="A90" s="33" t="s">
        <v>272</v>
      </c>
      <c r="B90" s="33" t="s">
        <v>257</v>
      </c>
      <c r="C90" s="34">
        <v>245</v>
      </c>
      <c r="D90" s="35">
        <v>41.3</v>
      </c>
    </row>
    <row r="91" spans="1:4" x14ac:dyDescent="0.25">
      <c r="A91" s="36" t="s">
        <v>272</v>
      </c>
      <c r="B91" s="36" t="s">
        <v>258</v>
      </c>
      <c r="C91" s="37">
        <v>240</v>
      </c>
      <c r="D91" s="38">
        <v>38.1</v>
      </c>
    </row>
    <row r="92" spans="1:4" x14ac:dyDescent="0.25">
      <c r="A92" s="33" t="s">
        <v>272</v>
      </c>
      <c r="B92" s="33" t="s">
        <v>260</v>
      </c>
      <c r="C92" s="34">
        <v>290</v>
      </c>
      <c r="D92" s="35">
        <v>44.5</v>
      </c>
    </row>
    <row r="93" spans="1:4" x14ac:dyDescent="0.25">
      <c r="A93" s="36" t="s">
        <v>272</v>
      </c>
      <c r="B93" s="36" t="s">
        <v>261</v>
      </c>
      <c r="C93" s="37">
        <v>350</v>
      </c>
      <c r="D93" s="38">
        <v>50.8</v>
      </c>
    </row>
    <row r="94" spans="1:4" x14ac:dyDescent="0.25">
      <c r="A94" s="33" t="s">
        <v>272</v>
      </c>
      <c r="B94" s="33" t="s">
        <v>262</v>
      </c>
      <c r="C94" s="34">
        <v>380</v>
      </c>
      <c r="D94" s="35">
        <v>55.6</v>
      </c>
    </row>
    <row r="95" spans="1:4" x14ac:dyDescent="0.25">
      <c r="A95" s="36" t="s">
        <v>272</v>
      </c>
      <c r="B95" s="36" t="s">
        <v>263</v>
      </c>
      <c r="C95" s="37">
        <v>470</v>
      </c>
      <c r="D95" s="38">
        <v>63.5</v>
      </c>
    </row>
    <row r="96" spans="1:4" x14ac:dyDescent="0.25">
      <c r="A96" s="33" t="s">
        <v>272</v>
      </c>
      <c r="B96" s="33" t="s">
        <v>118</v>
      </c>
      <c r="C96" s="34">
        <v>545</v>
      </c>
      <c r="D96" s="35">
        <v>69.900000000000006</v>
      </c>
    </row>
    <row r="97" spans="1:4" x14ac:dyDescent="0.25">
      <c r="A97" s="36" t="s">
        <v>272</v>
      </c>
      <c r="B97" s="36" t="s">
        <v>264</v>
      </c>
      <c r="C97" s="37">
        <v>610</v>
      </c>
      <c r="D97" s="38">
        <v>79.400000000000006</v>
      </c>
    </row>
    <row r="98" spans="1:4" x14ac:dyDescent="0.25">
      <c r="A98" s="33" t="s">
        <v>272</v>
      </c>
      <c r="B98" s="33" t="s">
        <v>265</v>
      </c>
      <c r="C98" s="34">
        <v>640</v>
      </c>
      <c r="D98" s="35">
        <v>85.8</v>
      </c>
    </row>
    <row r="99" spans="1:4" x14ac:dyDescent="0.25">
      <c r="A99" s="36" t="s">
        <v>272</v>
      </c>
      <c r="B99" s="36" t="s">
        <v>266</v>
      </c>
      <c r="C99" s="37">
        <v>705</v>
      </c>
      <c r="D99" s="38">
        <v>88.9</v>
      </c>
    </row>
    <row r="100" spans="1:4" x14ac:dyDescent="0.25">
      <c r="A100" s="33" t="s">
        <v>272</v>
      </c>
      <c r="B100" s="33" t="s">
        <v>267</v>
      </c>
      <c r="C100" s="34">
        <v>785</v>
      </c>
      <c r="D100" s="35">
        <v>101.6</v>
      </c>
    </row>
    <row r="101" spans="1:4" x14ac:dyDescent="0.25">
      <c r="A101" s="36" t="s">
        <v>272</v>
      </c>
      <c r="B101" s="36" t="s">
        <v>107</v>
      </c>
      <c r="C101" s="37">
        <v>855</v>
      </c>
      <c r="D101" s="38">
        <v>108</v>
      </c>
    </row>
    <row r="102" spans="1:4" x14ac:dyDescent="0.25">
      <c r="A102" s="33" t="s">
        <v>272</v>
      </c>
      <c r="B102" s="33" t="s">
        <v>268</v>
      </c>
      <c r="C102" s="34">
        <v>1040</v>
      </c>
      <c r="D102" s="35">
        <v>139.69999999999999</v>
      </c>
    </row>
    <row r="103" spans="1:4" x14ac:dyDescent="0.25">
      <c r="A103" s="36" t="s">
        <v>273</v>
      </c>
      <c r="B103" s="36" t="s">
        <v>251</v>
      </c>
      <c r="C103" s="37">
        <v>120</v>
      </c>
      <c r="D103" s="38">
        <v>22.3</v>
      </c>
    </row>
    <row r="104" spans="1:4" x14ac:dyDescent="0.25">
      <c r="A104" s="33" t="s">
        <v>273</v>
      </c>
      <c r="B104" s="33" t="s">
        <v>252</v>
      </c>
      <c r="C104" s="34">
        <v>130</v>
      </c>
      <c r="D104" s="35">
        <v>25.4</v>
      </c>
    </row>
    <row r="105" spans="1:4" x14ac:dyDescent="0.25">
      <c r="A105" s="36" t="s">
        <v>273</v>
      </c>
      <c r="B105" s="36" t="s">
        <v>253</v>
      </c>
      <c r="C105" s="37">
        <v>150</v>
      </c>
      <c r="D105" s="38">
        <v>28.6</v>
      </c>
    </row>
    <row r="106" spans="1:4" x14ac:dyDescent="0.25">
      <c r="A106" s="33" t="s">
        <v>273</v>
      </c>
      <c r="B106" s="33" t="s">
        <v>254</v>
      </c>
      <c r="C106" s="34">
        <v>160</v>
      </c>
      <c r="D106" s="35">
        <v>28.6</v>
      </c>
    </row>
    <row r="107" spans="1:4" x14ac:dyDescent="0.25">
      <c r="A107" s="36" t="s">
        <v>273</v>
      </c>
      <c r="B107" s="36" t="s">
        <v>255</v>
      </c>
      <c r="C107" s="37">
        <v>180</v>
      </c>
      <c r="D107" s="38">
        <v>31.8</v>
      </c>
    </row>
    <row r="108" spans="1:4" x14ac:dyDescent="0.25">
      <c r="A108" s="33" t="s">
        <v>273</v>
      </c>
      <c r="B108" s="33" t="s">
        <v>256</v>
      </c>
      <c r="C108" s="34">
        <v>215</v>
      </c>
      <c r="D108" s="35">
        <v>38.1</v>
      </c>
    </row>
    <row r="109" spans="1:4" x14ac:dyDescent="0.25">
      <c r="A109" s="36" t="s">
        <v>273</v>
      </c>
      <c r="B109" s="36" t="s">
        <v>257</v>
      </c>
      <c r="C109" s="37">
        <v>245</v>
      </c>
      <c r="D109" s="38">
        <v>41.3</v>
      </c>
    </row>
    <row r="110" spans="1:4" x14ac:dyDescent="0.25">
      <c r="A110" s="33" t="s">
        <v>273</v>
      </c>
      <c r="B110" s="33" t="s">
        <v>258</v>
      </c>
      <c r="C110" s="34">
        <v>265</v>
      </c>
      <c r="D110" s="35">
        <v>47.7</v>
      </c>
    </row>
    <row r="111" spans="1:4" x14ac:dyDescent="0.25">
      <c r="A111" s="36" t="s">
        <v>273</v>
      </c>
      <c r="B111" s="36" t="s">
        <v>260</v>
      </c>
      <c r="C111" s="37">
        <v>310</v>
      </c>
      <c r="D111" s="38">
        <v>54</v>
      </c>
    </row>
    <row r="112" spans="1:4" x14ac:dyDescent="0.25">
      <c r="A112" s="33" t="s">
        <v>273</v>
      </c>
      <c r="B112" s="33" t="s">
        <v>261</v>
      </c>
      <c r="C112" s="34">
        <v>375</v>
      </c>
      <c r="D112" s="35">
        <v>73.099999999999994</v>
      </c>
    </row>
    <row r="113" spans="1:4" x14ac:dyDescent="0.25">
      <c r="A113" s="36" t="s">
        <v>273</v>
      </c>
      <c r="B113" s="36" t="s">
        <v>262</v>
      </c>
      <c r="C113" s="37">
        <v>395</v>
      </c>
      <c r="D113" s="38">
        <v>82.6</v>
      </c>
    </row>
    <row r="114" spans="1:4" x14ac:dyDescent="0.25">
      <c r="A114" s="33" t="s">
        <v>273</v>
      </c>
      <c r="B114" s="33" t="s">
        <v>263</v>
      </c>
      <c r="C114" s="34">
        <v>485</v>
      </c>
      <c r="D114" s="35">
        <v>92.1</v>
      </c>
    </row>
    <row r="115" spans="1:4" x14ac:dyDescent="0.25">
      <c r="A115" s="36" t="s">
        <v>273</v>
      </c>
      <c r="B115" s="36" t="s">
        <v>118</v>
      </c>
      <c r="C115" s="37">
        <v>585</v>
      </c>
      <c r="D115" s="38">
        <v>108</v>
      </c>
    </row>
    <row r="116" spans="1:4" x14ac:dyDescent="0.25">
      <c r="A116" s="33" t="s">
        <v>273</v>
      </c>
      <c r="B116" s="33" t="s">
        <v>264</v>
      </c>
      <c r="C116" s="34">
        <v>675</v>
      </c>
      <c r="D116" s="35">
        <v>123.9</v>
      </c>
    </row>
    <row r="117" spans="1:4" x14ac:dyDescent="0.25">
      <c r="A117" s="36" t="s">
        <v>273</v>
      </c>
      <c r="B117" s="36" t="s">
        <v>265</v>
      </c>
      <c r="C117" s="37">
        <v>750</v>
      </c>
      <c r="D117" s="38">
        <v>133.4</v>
      </c>
    </row>
    <row r="118" spans="1:4" x14ac:dyDescent="0.25">
      <c r="A118" s="33" t="s">
        <v>273</v>
      </c>
      <c r="B118" s="33" t="s">
        <v>266</v>
      </c>
      <c r="C118" s="34">
        <v>825</v>
      </c>
      <c r="D118" s="35">
        <v>146.1</v>
      </c>
    </row>
    <row r="119" spans="1:4" x14ac:dyDescent="0.25">
      <c r="A119" s="36" t="s">
        <v>273</v>
      </c>
      <c r="B119" s="36" t="s">
        <v>267</v>
      </c>
      <c r="C119" s="37">
        <v>915</v>
      </c>
      <c r="D119" s="38">
        <v>162</v>
      </c>
    </row>
    <row r="120" spans="1:4" x14ac:dyDescent="0.25">
      <c r="A120" s="33" t="s">
        <v>273</v>
      </c>
      <c r="B120" s="33" t="s">
        <v>107</v>
      </c>
      <c r="C120" s="34">
        <v>985</v>
      </c>
      <c r="D120" s="35">
        <v>177.8</v>
      </c>
    </row>
    <row r="121" spans="1:4" x14ac:dyDescent="0.25">
      <c r="A121" s="36" t="s">
        <v>273</v>
      </c>
      <c r="B121" s="36" t="s">
        <v>268</v>
      </c>
      <c r="C121" s="37">
        <v>1170</v>
      </c>
      <c r="D121" s="38">
        <v>203.2</v>
      </c>
    </row>
    <row r="122" spans="1:4" x14ac:dyDescent="0.25">
      <c r="A122" s="33" t="s">
        <v>274</v>
      </c>
      <c r="B122" s="33" t="s">
        <v>251</v>
      </c>
      <c r="C122" s="34">
        <v>135</v>
      </c>
      <c r="D122" s="35">
        <v>30.2</v>
      </c>
    </row>
    <row r="123" spans="1:4" x14ac:dyDescent="0.25">
      <c r="A123" s="36" t="s">
        <v>274</v>
      </c>
      <c r="B123" s="36" t="s">
        <v>252</v>
      </c>
      <c r="C123" s="37">
        <v>140</v>
      </c>
      <c r="D123" s="38">
        <v>31.8</v>
      </c>
    </row>
    <row r="124" spans="1:4" x14ac:dyDescent="0.25">
      <c r="A124" s="33" t="s">
        <v>274</v>
      </c>
      <c r="B124" s="33" t="s">
        <v>253</v>
      </c>
      <c r="C124" s="34">
        <v>160</v>
      </c>
      <c r="D124" s="35">
        <v>35</v>
      </c>
    </row>
    <row r="125" spans="1:4" x14ac:dyDescent="0.25">
      <c r="A125" s="36" t="s">
        <v>274</v>
      </c>
      <c r="B125" s="36" t="s">
        <v>254</v>
      </c>
      <c r="C125" s="37">
        <v>185</v>
      </c>
      <c r="D125" s="38">
        <v>38.1</v>
      </c>
    </row>
    <row r="126" spans="1:4" x14ac:dyDescent="0.25">
      <c r="A126" s="33" t="s">
        <v>274</v>
      </c>
      <c r="B126" s="33" t="s">
        <v>255</v>
      </c>
      <c r="C126" s="34">
        <v>205</v>
      </c>
      <c r="D126" s="35">
        <v>44.5</v>
      </c>
    </row>
    <row r="127" spans="1:4" x14ac:dyDescent="0.25">
      <c r="A127" s="36" t="s">
        <v>274</v>
      </c>
      <c r="B127" s="36" t="s">
        <v>256</v>
      </c>
      <c r="C127" s="37">
        <v>235</v>
      </c>
      <c r="D127" s="38">
        <v>50.9</v>
      </c>
    </row>
    <row r="128" spans="1:4" x14ac:dyDescent="0.25">
      <c r="A128" s="33" t="s">
        <v>274</v>
      </c>
      <c r="B128" s="33" t="s">
        <v>257</v>
      </c>
      <c r="C128" s="34">
        <v>265</v>
      </c>
      <c r="D128" s="35">
        <v>57.2</v>
      </c>
    </row>
    <row r="129" spans="1:4" x14ac:dyDescent="0.25">
      <c r="A129" s="36" t="s">
        <v>274</v>
      </c>
      <c r="B129" s="36" t="s">
        <v>258</v>
      </c>
      <c r="C129" s="37">
        <v>305</v>
      </c>
      <c r="D129" s="38">
        <v>66.7</v>
      </c>
    </row>
    <row r="130" spans="1:4" x14ac:dyDescent="0.25">
      <c r="A130" s="33" t="s">
        <v>274</v>
      </c>
      <c r="B130" s="33" t="s">
        <v>260</v>
      </c>
      <c r="C130" s="34">
        <v>355</v>
      </c>
      <c r="D130" s="35">
        <v>76.2</v>
      </c>
    </row>
    <row r="131" spans="1:4" x14ac:dyDescent="0.25">
      <c r="A131" s="36" t="s">
        <v>274</v>
      </c>
      <c r="B131" s="36" t="s">
        <v>261</v>
      </c>
      <c r="C131" s="37">
        <v>420</v>
      </c>
      <c r="D131" s="38">
        <v>92.1</v>
      </c>
    </row>
    <row r="132" spans="1:4" x14ac:dyDescent="0.25">
      <c r="A132" s="33" t="s">
        <v>274</v>
      </c>
      <c r="B132" s="33" t="s">
        <v>262</v>
      </c>
      <c r="C132" s="34">
        <v>485</v>
      </c>
      <c r="D132" s="35">
        <v>108</v>
      </c>
    </row>
    <row r="133" spans="1:4" x14ac:dyDescent="0.25">
      <c r="A133" s="36" t="s">
        <v>274</v>
      </c>
      <c r="B133" s="36" t="s">
        <v>263</v>
      </c>
      <c r="C133" s="37">
        <v>550</v>
      </c>
      <c r="D133" s="38">
        <v>127</v>
      </c>
    </row>
    <row r="134" spans="1:4" x14ac:dyDescent="0.25">
      <c r="A134" s="33" t="s">
        <v>274</v>
      </c>
      <c r="B134" s="33" t="s">
        <v>118</v>
      </c>
      <c r="C134" s="34">
        <v>675</v>
      </c>
      <c r="D134" s="35">
        <v>165.1</v>
      </c>
    </row>
    <row r="135" spans="1:4" x14ac:dyDescent="0.25">
      <c r="A135" s="36" t="s">
        <v>274</v>
      </c>
      <c r="B135" s="36" t="s">
        <v>264</v>
      </c>
      <c r="C135" s="37">
        <v>760</v>
      </c>
      <c r="D135" s="38">
        <v>184.2</v>
      </c>
    </row>
  </sheetData>
  <autoFilter ref="D1:D135" xr:uid="{1DB39FE3-986A-4440-A627-94AB699CD40A}"/>
  <mergeCells count="1">
    <mergeCell ref="A1:D1"/>
  </mergeCells>
  <pageMargins left="0.7" right="0.7" top="0.75" bottom="0.75" header="0.3" footer="0.3"/>
  <pageSetup paperSize="6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8F932-C030-449A-8F8D-6B51E5FEC281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heat exchanger </vt:lpstr>
      <vt:lpstr>shell dimension</vt:lpstr>
      <vt:lpstr>brass chart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sumedh dudhe</dc:creator>
  <cp:lastModifiedBy>sumedh dudhe</cp:lastModifiedBy>
  <cp:lastPrinted>2026-07-02T21:42:18Z</cp:lastPrinted>
  <dcterms:created xsi:type="dcterms:W3CDTF">2026-06-23T09:50:09Z</dcterms:created>
  <dcterms:modified xsi:type="dcterms:W3CDTF">2026-08-16T18:44:59Z</dcterms:modified>
</cp:coreProperties>
</file>